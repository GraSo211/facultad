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lumno.GI\Documents\"/>
    </mc:Choice>
  </mc:AlternateContent>
  <xr:revisionPtr revIDLastSave="0" documentId="13_ncr:1_{BFCE18D3-1A08-4B2C-B245-1C9529DF97EF}" xr6:coauthVersionLast="47" xr6:coauthVersionMax="47" xr10:uidLastSave="{00000000-0000-0000-0000-000000000000}"/>
  <bookViews>
    <workbookView xWindow="10710" yWindow="3105" windowWidth="15285" windowHeight="8985" tabRatio="405" xr2:uid="{00000000-000D-0000-FFFF-FFFF00000000}"/>
  </bookViews>
  <sheets>
    <sheet name="Cabecera" sheetId="4" r:id="rId1"/>
  </sheets>
  <definedNames>
    <definedName name="_xlnm.Print_Area" localSheetId="0">Cabecera!$A$2:$Z$27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8" i="4" l="1"/>
  <c r="AE8" i="4"/>
  <c r="AD8" i="4"/>
  <c r="Y8" i="4"/>
  <c r="S8" i="4"/>
  <c r="U8" i="4"/>
  <c r="L8" i="4"/>
  <c r="I8" i="4"/>
  <c r="I7" i="4"/>
  <c r="H7" i="4"/>
  <c r="F8" i="4"/>
  <c r="C8" i="4"/>
  <c r="S7" i="4"/>
  <c r="Q7" i="4"/>
  <c r="AF7" i="4"/>
  <c r="AC7" i="4"/>
  <c r="AB7" i="4"/>
  <c r="AA7" i="4"/>
  <c r="R7" i="4"/>
  <c r="L7" i="4"/>
  <c r="F7" i="4"/>
  <c r="C7" i="4"/>
  <c r="R6" i="4"/>
  <c r="P6" i="4"/>
  <c r="AC6" i="4" l="1"/>
  <c r="L6" i="4"/>
  <c r="I6" i="4"/>
  <c r="F6" i="4"/>
  <c r="E6" i="4"/>
  <c r="C6" i="4"/>
</calcChain>
</file>

<file path=xl/sharedStrings.xml><?xml version="1.0" encoding="utf-8"?>
<sst xmlns="http://schemas.openxmlformats.org/spreadsheetml/2006/main" count="98" uniqueCount="61">
  <si>
    <t>Evento</t>
  </si>
  <si>
    <t>RND</t>
  </si>
  <si>
    <t>fin ayuda radio</t>
  </si>
  <si>
    <t>RND 1</t>
  </si>
  <si>
    <t>RND 2</t>
  </si>
  <si>
    <t>tiempo atención 2</t>
  </si>
  <si>
    <t>tiempo atención 1</t>
  </si>
  <si>
    <t>Estado</t>
  </si>
  <si>
    <t>MECANICO (N)</t>
  </si>
  <si>
    <t>Cola de Camiones</t>
  </si>
  <si>
    <t>AC
Tiempos de espera</t>
  </si>
  <si>
    <t>Hora Lleg.</t>
  </si>
  <si>
    <t>Tipo</t>
  </si>
  <si>
    <t>CAMION</t>
  </si>
  <si>
    <t>Inicialización</t>
  </si>
  <si>
    <t>Libre</t>
  </si>
  <si>
    <t>(min)
Reloj</t>
  </si>
  <si>
    <t>próxima llamada</t>
  </si>
  <si>
    <t>A)</t>
  </si>
  <si>
    <t>B)</t>
  </si>
  <si>
    <t>Nro. Evento</t>
  </si>
  <si>
    <t>lleg_camión_carga</t>
  </si>
  <si>
    <t>lleg_camión_revisión</t>
  </si>
  <si>
    <t>llegada_llamada_radio</t>
  </si>
  <si>
    <t>Tpo. entre
llegadas</t>
  </si>
  <si>
    <t>fin_atención (i)</t>
  </si>
  <si>
    <t>AC Tiempos de permanen cia</t>
  </si>
  <si>
    <t>Cont. Cam. atención finalizada</t>
  </si>
  <si>
    <t>Cont. Cam. con acceso a mecánico</t>
  </si>
  <si>
    <t>--</t>
  </si>
  <si>
    <t>Estos son los eventuales</t>
  </si>
  <si>
    <t>RNDs a usar en cada evento --&gt;</t>
  </si>
  <si>
    <t>1° llegada llamada</t>
  </si>
  <si>
    <t>1° fin atención</t>
  </si>
  <si>
    <t>Primero el de arriba</t>
  </si>
  <si>
    <t>2° llegada llamada</t>
  </si>
  <si>
    <t>2° fin atención</t>
  </si>
  <si>
    <t>luego el segundo etc.</t>
  </si>
  <si>
    <t>3° llegada llamada</t>
  </si>
  <si>
    <t>3° fin atención</t>
  </si>
  <si>
    <t>SEGÚN DEMANDA de cada evento</t>
  </si>
  <si>
    <t>(usar los que necesite para cada evento)</t>
  </si>
  <si>
    <t>1° llegada revción</t>
  </si>
  <si>
    <t>2° llegada revisión</t>
  </si>
  <si>
    <t>3° llegada revisión</t>
  </si>
  <si>
    <t>1° llegada carga</t>
  </si>
  <si>
    <t>2° llegada</t>
  </si>
  <si>
    <t>3° llegada</t>
  </si>
  <si>
    <t>El Tiempo de cada llamada es de 6 minutos</t>
  </si>
  <si>
    <t>próxima llegada carga</t>
  </si>
  <si>
    <t>próxima llegada revisión</t>
  </si>
  <si>
    <t>Fin Atenc. Mecánico 1</t>
  </si>
  <si>
    <t>Fin Atenc. Mecánico 2</t>
  </si>
  <si>
    <t>Llegada Carga</t>
  </si>
  <si>
    <t>Ocupado</t>
  </si>
  <si>
    <t>Cargando</t>
  </si>
  <si>
    <t>Comb</t>
  </si>
  <si>
    <t>Llegada Revision</t>
  </si>
  <si>
    <t>En Rev</t>
  </si>
  <si>
    <t>Rev</t>
  </si>
  <si>
    <t>Fin Atencion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</si>
</sst>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0" xfId="0" applyFill="1"/>
    <xf numFmtId="0" fontId="0" fillId="0" borderId="0" xfId="0" applyAlignment="1">
      <alignment horizontal="center"/>
    </xf>
    <xf numFmtId="0" fontId="1" fillId="0" borderId="0" xfId="0" applyFont="1"/>
    <xf numFmtId="2" fontId="0" fillId="0" borderId="0" xfId="0" applyNumberFormat="1"/>
    <xf numFmtId="2" fontId="3" fillId="0" borderId="0" xfId="0" applyNumberFormat="1" applyFont="1"/>
    <xf numFmtId="2" fontId="0" fillId="0" borderId="0" xfId="0" applyNumberFormat="1" applyAlignment="1">
      <alignment horizontal="center"/>
    </xf>
    <xf numFmtId="2" fontId="2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2" fontId="4" fillId="0" borderId="0" xfId="0" applyNumberFormat="1" applyFont="1"/>
    <xf numFmtId="2" fontId="1" fillId="3" borderId="0" xfId="0" applyNumberFormat="1" applyFont="1" applyFill="1"/>
    <xf numFmtId="2" fontId="0" fillId="3" borderId="0" xfId="0" applyNumberFormat="1" applyFill="1"/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 wrapText="1"/>
    </xf>
    <xf numFmtId="2" fontId="1" fillId="3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8" borderId="1" xfId="0" applyFont="1" applyFill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1" fontId="1" fillId="3" borderId="1" xfId="0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9" borderId="1" xfId="0" applyFill="1" applyBorder="1"/>
    <xf numFmtId="0" fontId="0" fillId="9" borderId="1" xfId="0" quotePrefix="1" applyFill="1" applyBorder="1" applyAlignment="1">
      <alignment horizontal="center"/>
    </xf>
    <xf numFmtId="0" fontId="2" fillId="9" borderId="1" xfId="0" applyFont="1" applyFill="1" applyBorder="1"/>
    <xf numFmtId="0" fontId="0" fillId="1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7F05C-1C6A-499B-A704-E39E5780ED5B}">
  <dimension ref="A1:BA27"/>
  <sheetViews>
    <sheetView tabSelected="1" topLeftCell="K1" workbookViewId="0">
      <selection activeCell="D8" sqref="A8:XFD8"/>
    </sheetView>
  </sheetViews>
  <sheetFormatPr baseColWidth="10" defaultRowHeight="15" x14ac:dyDescent="0.25"/>
  <cols>
    <col min="1" max="1" width="7" style="2" customWidth="1"/>
    <col min="2" max="2" width="24.7109375" customWidth="1"/>
    <col min="3" max="3" width="19.7109375" style="4" customWidth="1"/>
    <col min="4" max="4" width="6.7109375" style="4" customWidth="1"/>
    <col min="5" max="5" width="13.28515625" style="4" customWidth="1"/>
    <col min="6" max="6" width="16.85546875" style="4" customWidth="1"/>
    <col min="7" max="7" width="7" style="4" customWidth="1"/>
    <col min="8" max="8" width="11.5703125" style="4" customWidth="1"/>
    <col min="9" max="9" width="16.140625" style="4" customWidth="1"/>
    <col min="10" max="10" width="7" style="4" customWidth="1"/>
    <col min="11" max="11" width="8" style="4" customWidth="1"/>
    <col min="12" max="13" width="9.5703125" style="4" customWidth="1"/>
    <col min="14" max="15" width="6.85546875" style="4" customWidth="1"/>
    <col min="16" max="16" width="13" style="4" customWidth="1"/>
    <col min="17" max="17" width="13.5703125" style="4" customWidth="1"/>
    <col min="18" max="18" width="10.85546875" style="4" customWidth="1"/>
    <col min="19" max="19" width="11.85546875" style="4" customWidth="1"/>
    <col min="20" max="21" width="9.7109375" style="2" bestFit="1" customWidth="1"/>
    <col min="22" max="22" width="9.28515625" style="2" customWidth="1"/>
    <col min="23" max="23" width="8.5703125" style="6" customWidth="1"/>
    <col min="24" max="24" width="9.28515625" style="2" customWidth="1"/>
    <col min="25" max="25" width="10.5703125" style="6" customWidth="1"/>
    <col min="26" max="26" width="9.5703125" style="2" customWidth="1"/>
    <col min="27" max="27" width="10.28515625" style="2" customWidth="1"/>
    <col min="28" max="29" width="6.42578125" style="2" customWidth="1"/>
    <col min="30" max="30" width="8.85546875" style="2" customWidth="1"/>
    <col min="31" max="46" width="6.42578125" style="2" customWidth="1"/>
    <col min="47" max="47" width="6.42578125" style="6" customWidth="1"/>
    <col min="48" max="49" width="6.42578125" style="2" customWidth="1"/>
    <col min="50" max="50" width="6.42578125" style="6" customWidth="1"/>
    <col min="51" max="52" width="6.42578125" style="2" customWidth="1"/>
    <col min="53" max="53" width="6.42578125" style="6" customWidth="1"/>
  </cols>
  <sheetData>
    <row r="1" spans="1:53" x14ac:dyDescent="0.25">
      <c r="W1" s="14" t="s">
        <v>18</v>
      </c>
      <c r="X1" s="14"/>
      <c r="Y1" s="14" t="s">
        <v>19</v>
      </c>
      <c r="Z1" s="14"/>
    </row>
    <row r="2" spans="1:53" s="3" customFormat="1" ht="15" customHeight="1" x14ac:dyDescent="0.25">
      <c r="A2" s="15"/>
      <c r="B2" s="16" t="s">
        <v>0</v>
      </c>
      <c r="C2" s="17" t="s">
        <v>16</v>
      </c>
      <c r="D2" s="18" t="s">
        <v>21</v>
      </c>
      <c r="E2" s="18"/>
      <c r="F2" s="18"/>
      <c r="G2" s="19" t="s">
        <v>22</v>
      </c>
      <c r="H2" s="19"/>
      <c r="I2" s="19"/>
      <c r="J2" s="20" t="s">
        <v>23</v>
      </c>
      <c r="K2" s="20"/>
      <c r="L2" s="20"/>
      <c r="M2" s="21" t="s">
        <v>2</v>
      </c>
      <c r="N2" s="22" t="s">
        <v>25</v>
      </c>
      <c r="O2" s="22"/>
      <c r="P2" s="22"/>
      <c r="Q2" s="22"/>
      <c r="R2" s="22"/>
      <c r="S2" s="22"/>
      <c r="T2" s="23" t="s">
        <v>8</v>
      </c>
      <c r="U2" s="23"/>
      <c r="V2" s="24" t="s">
        <v>9</v>
      </c>
      <c r="W2" s="17" t="s">
        <v>10</v>
      </c>
      <c r="X2" s="24" t="s">
        <v>28</v>
      </c>
      <c r="Y2" s="17" t="s">
        <v>26</v>
      </c>
      <c r="Z2" s="24" t="s">
        <v>27</v>
      </c>
      <c r="AA2" s="25" t="s">
        <v>13</v>
      </c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</row>
    <row r="3" spans="1:53" s="3" customFormat="1" ht="14.45" customHeight="1" x14ac:dyDescent="0.25">
      <c r="A3" s="15"/>
      <c r="B3" s="16"/>
      <c r="C3" s="26"/>
      <c r="D3" s="17" t="s">
        <v>1</v>
      </c>
      <c r="E3" s="17" t="s">
        <v>24</v>
      </c>
      <c r="F3" s="21" t="s">
        <v>49</v>
      </c>
      <c r="G3" s="17" t="s">
        <v>1</v>
      </c>
      <c r="H3" s="17" t="s">
        <v>24</v>
      </c>
      <c r="I3" s="21" t="s">
        <v>50</v>
      </c>
      <c r="J3" s="17" t="s">
        <v>1</v>
      </c>
      <c r="K3" s="17" t="s">
        <v>24</v>
      </c>
      <c r="L3" s="21" t="s">
        <v>17</v>
      </c>
      <c r="M3" s="21"/>
      <c r="N3" s="17" t="s">
        <v>3</v>
      </c>
      <c r="O3" s="17" t="s">
        <v>4</v>
      </c>
      <c r="P3" s="17" t="s">
        <v>6</v>
      </c>
      <c r="Q3" s="17" t="s">
        <v>5</v>
      </c>
      <c r="R3" s="27" t="s">
        <v>51</v>
      </c>
      <c r="S3" s="27" t="s">
        <v>52</v>
      </c>
      <c r="T3" s="15">
        <v>1</v>
      </c>
      <c r="U3" s="15">
        <v>2</v>
      </c>
      <c r="V3" s="24"/>
      <c r="W3" s="26"/>
      <c r="X3" s="24"/>
      <c r="Y3" s="26"/>
      <c r="Z3" s="24"/>
      <c r="AA3" s="24">
        <v>1</v>
      </c>
      <c r="AB3" s="24"/>
      <c r="AC3" s="24"/>
      <c r="AD3" s="24">
        <v>2</v>
      </c>
      <c r="AE3" s="24"/>
      <c r="AF3" s="24"/>
      <c r="AG3" s="24">
        <v>3</v>
      </c>
      <c r="AH3" s="24"/>
      <c r="AI3" s="24"/>
      <c r="AJ3" s="24">
        <v>4</v>
      </c>
      <c r="AK3" s="24"/>
      <c r="AL3" s="24"/>
      <c r="AM3" s="24">
        <v>5</v>
      </c>
      <c r="AN3" s="24"/>
      <c r="AO3" s="24"/>
      <c r="AP3" s="24">
        <v>6</v>
      </c>
      <c r="AQ3" s="24"/>
      <c r="AR3" s="24"/>
      <c r="AS3" s="24">
        <v>7</v>
      </c>
      <c r="AT3" s="24"/>
      <c r="AU3" s="24"/>
      <c r="AV3" s="24">
        <v>8</v>
      </c>
      <c r="AW3" s="24"/>
      <c r="AX3" s="24"/>
      <c r="AY3" s="24">
        <v>9</v>
      </c>
      <c r="AZ3" s="24"/>
      <c r="BA3" s="24"/>
    </row>
    <row r="4" spans="1:53" s="3" customFormat="1" ht="25.9" customHeight="1" x14ac:dyDescent="0.25">
      <c r="A4" s="28" t="s">
        <v>20</v>
      </c>
      <c r="B4" s="16"/>
      <c r="C4" s="26"/>
      <c r="D4" s="17"/>
      <c r="E4" s="17"/>
      <c r="F4" s="21"/>
      <c r="G4" s="17"/>
      <c r="H4" s="17"/>
      <c r="I4" s="21"/>
      <c r="J4" s="17"/>
      <c r="K4" s="17"/>
      <c r="L4" s="21"/>
      <c r="M4" s="21"/>
      <c r="N4" s="17"/>
      <c r="O4" s="17"/>
      <c r="P4" s="17"/>
      <c r="Q4" s="17"/>
      <c r="R4" s="27"/>
      <c r="S4" s="27"/>
      <c r="T4" s="15" t="s">
        <v>7</v>
      </c>
      <c r="U4" s="15" t="s">
        <v>7</v>
      </c>
      <c r="V4" s="24"/>
      <c r="W4" s="26"/>
      <c r="X4" s="24"/>
      <c r="Y4" s="26"/>
      <c r="Z4" s="24"/>
      <c r="AA4" s="28" t="s">
        <v>7</v>
      </c>
      <c r="AB4" s="29" t="s">
        <v>12</v>
      </c>
      <c r="AC4" s="28" t="s">
        <v>11</v>
      </c>
      <c r="AD4" s="28" t="s">
        <v>7</v>
      </c>
      <c r="AE4" s="29" t="s">
        <v>12</v>
      </c>
      <c r="AF4" s="28" t="s">
        <v>11</v>
      </c>
      <c r="AG4" s="28" t="s">
        <v>7</v>
      </c>
      <c r="AH4" s="29" t="s">
        <v>12</v>
      </c>
      <c r="AI4" s="28" t="s">
        <v>11</v>
      </c>
      <c r="AJ4" s="28" t="s">
        <v>7</v>
      </c>
      <c r="AK4" s="29" t="s">
        <v>12</v>
      </c>
      <c r="AL4" s="28" t="s">
        <v>11</v>
      </c>
      <c r="AM4" s="28" t="s">
        <v>7</v>
      </c>
      <c r="AN4" s="29" t="s">
        <v>12</v>
      </c>
      <c r="AO4" s="28" t="s">
        <v>11</v>
      </c>
      <c r="AP4" s="28" t="s">
        <v>7</v>
      </c>
      <c r="AQ4" s="29" t="s">
        <v>12</v>
      </c>
      <c r="AR4" s="28" t="s">
        <v>11</v>
      </c>
      <c r="AS4" s="28" t="s">
        <v>7</v>
      </c>
      <c r="AT4" s="29" t="s">
        <v>12</v>
      </c>
      <c r="AU4" s="29" t="s">
        <v>11</v>
      </c>
      <c r="AV4" s="28" t="s">
        <v>7</v>
      </c>
      <c r="AW4" s="29" t="s">
        <v>12</v>
      </c>
      <c r="AX4" s="29" t="s">
        <v>11</v>
      </c>
      <c r="AY4" s="28" t="s">
        <v>7</v>
      </c>
      <c r="AZ4" s="29" t="s">
        <v>12</v>
      </c>
      <c r="BA4" s="29" t="s">
        <v>11</v>
      </c>
    </row>
    <row r="5" spans="1:53" x14ac:dyDescent="0.25">
      <c r="A5" s="30">
        <v>0</v>
      </c>
      <c r="B5" s="31" t="s">
        <v>14</v>
      </c>
      <c r="C5" s="31">
        <v>0</v>
      </c>
      <c r="D5" s="31"/>
      <c r="E5" s="31"/>
      <c r="F5" s="34">
        <v>1.37</v>
      </c>
      <c r="G5" s="31"/>
      <c r="H5" s="31"/>
      <c r="I5" s="32">
        <v>2.2599999999999998</v>
      </c>
      <c r="J5" s="31"/>
      <c r="K5" s="31"/>
      <c r="L5" s="32">
        <v>19.21</v>
      </c>
      <c r="M5" s="33" t="s">
        <v>29</v>
      </c>
      <c r="N5" s="31"/>
      <c r="O5" s="31"/>
      <c r="P5" s="31"/>
      <c r="Q5" s="31"/>
      <c r="R5" s="33" t="s">
        <v>29</v>
      </c>
      <c r="S5" s="33" t="s">
        <v>29</v>
      </c>
      <c r="T5" s="31" t="s">
        <v>15</v>
      </c>
      <c r="U5" s="31" t="s">
        <v>15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</row>
    <row r="6" spans="1:53" x14ac:dyDescent="0.25">
      <c r="A6" s="30">
        <v>1</v>
      </c>
      <c r="B6" s="31" t="s">
        <v>53</v>
      </c>
      <c r="C6" s="31">
        <f>F5</f>
        <v>1.37</v>
      </c>
      <c r="D6" s="31">
        <v>0.88</v>
      </c>
      <c r="E6" s="31">
        <f>TRUNC(-5*LN(1-D6),2)</f>
        <v>10.6</v>
      </c>
      <c r="F6" s="32">
        <f>E6+C6</f>
        <v>11.969999999999999</v>
      </c>
      <c r="G6" s="31"/>
      <c r="H6" s="31"/>
      <c r="I6" s="34">
        <f>I5</f>
        <v>2.2599999999999998</v>
      </c>
      <c r="J6" s="31"/>
      <c r="K6" s="31"/>
      <c r="L6" s="32">
        <f>L5</f>
        <v>19.21</v>
      </c>
      <c r="M6" s="32"/>
      <c r="N6" s="31">
        <v>0.1</v>
      </c>
      <c r="O6" s="31">
        <v>0.5</v>
      </c>
      <c r="P6" s="31">
        <f>TRUNC((SQRT(-2*LN(N6))*COS(2*PI()*O6))*3+11,2)</f>
        <v>4.5599999999999996</v>
      </c>
      <c r="Q6" s="31"/>
      <c r="R6" s="32">
        <f>P6+C6</f>
        <v>5.93</v>
      </c>
      <c r="S6" s="32"/>
      <c r="T6" s="31" t="s">
        <v>54</v>
      </c>
      <c r="U6" s="31" t="s">
        <v>15</v>
      </c>
      <c r="V6" s="31">
        <v>0</v>
      </c>
      <c r="W6" s="31">
        <v>0</v>
      </c>
      <c r="X6" s="31">
        <v>1</v>
      </c>
      <c r="Y6" s="31">
        <v>0</v>
      </c>
      <c r="Z6" s="31">
        <v>0</v>
      </c>
      <c r="AA6" s="31" t="s">
        <v>55</v>
      </c>
      <c r="AB6" s="31" t="s">
        <v>56</v>
      </c>
      <c r="AC6" s="31">
        <f>C6</f>
        <v>1.37</v>
      </c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53" x14ac:dyDescent="0.25">
      <c r="A7" s="30">
        <v>2</v>
      </c>
      <c r="B7" s="31" t="s">
        <v>57</v>
      </c>
      <c r="C7" s="31">
        <f>I6</f>
        <v>2.2599999999999998</v>
      </c>
      <c r="D7" s="31"/>
      <c r="E7" s="31"/>
      <c r="F7" s="32">
        <f>F6</f>
        <v>11.969999999999999</v>
      </c>
      <c r="G7" s="31">
        <v>0.28999999999999998</v>
      </c>
      <c r="H7" s="31">
        <f>TRUNC(-15*LN(1-G7),2)</f>
        <v>5.13</v>
      </c>
      <c r="I7" s="32">
        <f>H7+C7</f>
        <v>7.39</v>
      </c>
      <c r="J7" s="31"/>
      <c r="K7" s="31"/>
      <c r="L7" s="32">
        <f>L6</f>
        <v>19.21</v>
      </c>
      <c r="M7" s="32"/>
      <c r="N7" s="31">
        <v>0.1</v>
      </c>
      <c r="O7" s="31">
        <v>0.5</v>
      </c>
      <c r="P7" s="31"/>
      <c r="Q7" s="31">
        <f>TRUNC((SQRT(-2*LN(N7))*SIN(2*PI()*O7))*3+11,2)</f>
        <v>11</v>
      </c>
      <c r="R7" s="34">
        <f>R6</f>
        <v>5.93</v>
      </c>
      <c r="S7" s="32">
        <f>Q7+C7</f>
        <v>13.26</v>
      </c>
      <c r="T7" s="31" t="s">
        <v>54</v>
      </c>
      <c r="U7" s="31" t="s">
        <v>54</v>
      </c>
      <c r="V7" s="31">
        <v>0</v>
      </c>
      <c r="W7" s="31">
        <v>0</v>
      </c>
      <c r="X7" s="31">
        <v>2</v>
      </c>
      <c r="Y7" s="31">
        <v>0</v>
      </c>
      <c r="Z7" s="31">
        <v>0</v>
      </c>
      <c r="AA7" s="31" t="str">
        <f>AA6</f>
        <v>Cargando</v>
      </c>
      <c r="AB7" s="31" t="str">
        <f>AB6</f>
        <v>Comb</v>
      </c>
      <c r="AC7" s="31">
        <f>AC6</f>
        <v>1.37</v>
      </c>
      <c r="AD7" s="31" t="s">
        <v>58</v>
      </c>
      <c r="AE7" s="31" t="s">
        <v>59</v>
      </c>
      <c r="AF7" s="31">
        <f>C7</f>
        <v>2.2599999999999998</v>
      </c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</row>
    <row r="8" spans="1:53" x14ac:dyDescent="0.25">
      <c r="A8" s="30">
        <v>3</v>
      </c>
      <c r="B8" s="31" t="s">
        <v>60</v>
      </c>
      <c r="C8" s="31">
        <f>R7</f>
        <v>5.93</v>
      </c>
      <c r="D8" s="31"/>
      <c r="E8" s="31"/>
      <c r="F8" s="32">
        <f>F7</f>
        <v>11.969999999999999</v>
      </c>
      <c r="G8" s="31"/>
      <c r="H8" s="31"/>
      <c r="I8" s="32">
        <f>I7</f>
        <v>7.39</v>
      </c>
      <c r="J8" s="31"/>
      <c r="K8" s="31"/>
      <c r="L8" s="32">
        <f>L7</f>
        <v>19.21</v>
      </c>
      <c r="M8" s="32"/>
      <c r="N8" s="31"/>
      <c r="O8" s="31"/>
      <c r="P8" s="31"/>
      <c r="Q8" s="31"/>
      <c r="R8" s="32"/>
      <c r="S8" s="32">
        <f>S7</f>
        <v>13.26</v>
      </c>
      <c r="T8" s="31" t="s">
        <v>15</v>
      </c>
      <c r="U8" s="31" t="str">
        <f>U7</f>
        <v>Ocupado</v>
      </c>
      <c r="V8" s="31">
        <v>0</v>
      </c>
      <c r="W8" s="31">
        <v>0</v>
      </c>
      <c r="X8" s="31">
        <v>2</v>
      </c>
      <c r="Y8" s="31">
        <f>Y7+(C8-AC7)</f>
        <v>4.5599999999999996</v>
      </c>
      <c r="Z8" s="31">
        <v>1</v>
      </c>
      <c r="AA8" s="35"/>
      <c r="AB8" s="35"/>
      <c r="AC8" s="35"/>
      <c r="AD8" s="31" t="str">
        <f>AD7</f>
        <v>En Rev</v>
      </c>
      <c r="AE8" s="31" t="str">
        <f>AE7</f>
        <v>Rev</v>
      </c>
      <c r="AF8" s="31">
        <f>AF7</f>
        <v>2.2599999999999998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</row>
    <row r="9" spans="1:53" x14ac:dyDescent="0.25">
      <c r="A9" s="30"/>
      <c r="B9" s="31"/>
      <c r="C9" s="31"/>
      <c r="D9" s="31"/>
      <c r="E9" s="31"/>
      <c r="F9" s="32"/>
      <c r="G9" s="31"/>
      <c r="H9" s="31"/>
      <c r="I9" s="32"/>
      <c r="J9" s="31"/>
      <c r="K9" s="31"/>
      <c r="L9" s="32"/>
      <c r="M9" s="32"/>
      <c r="N9" s="31"/>
      <c r="O9" s="31"/>
      <c r="P9" s="31"/>
      <c r="Q9" s="31"/>
      <c r="R9" s="32"/>
      <c r="S9" s="32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</row>
    <row r="10" spans="1:53" x14ac:dyDescent="0.25">
      <c r="A10" s="30"/>
      <c r="B10" s="31"/>
      <c r="C10" s="31"/>
      <c r="D10" s="31"/>
      <c r="E10" s="31"/>
      <c r="F10" s="32"/>
      <c r="G10" s="31"/>
      <c r="H10" s="31"/>
      <c r="I10" s="32"/>
      <c r="J10" s="31"/>
      <c r="K10" s="31"/>
      <c r="L10" s="32"/>
      <c r="M10" s="32"/>
      <c r="N10" s="31"/>
      <c r="O10" s="31"/>
      <c r="P10" s="31"/>
      <c r="Q10" s="31"/>
      <c r="R10" s="32"/>
      <c r="S10" s="32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</row>
    <row r="11" spans="1:53" x14ac:dyDescent="0.25">
      <c r="A11" s="30"/>
      <c r="B11" s="31"/>
      <c r="C11" s="31"/>
      <c r="D11" s="31"/>
      <c r="E11" s="31"/>
      <c r="F11" s="32"/>
      <c r="G11" s="31"/>
      <c r="H11" s="31"/>
      <c r="I11" s="32"/>
      <c r="J11" s="31"/>
      <c r="K11" s="31"/>
      <c r="L11" s="32"/>
      <c r="M11" s="32"/>
      <c r="N11" s="31"/>
      <c r="O11" s="31"/>
      <c r="P11" s="31"/>
      <c r="Q11" s="31"/>
      <c r="R11" s="32"/>
      <c r="S11" s="32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</row>
    <row r="12" spans="1:53" x14ac:dyDescent="0.25"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</row>
    <row r="13" spans="1:53" x14ac:dyDescent="0.25">
      <c r="A13" s="10" t="s">
        <v>30</v>
      </c>
      <c r="F13" s="7"/>
      <c r="H13" s="2"/>
      <c r="M13" s="5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</row>
    <row r="14" spans="1:53" x14ac:dyDescent="0.25">
      <c r="A14" s="10" t="s">
        <v>31</v>
      </c>
      <c r="C14" s="4" t="s">
        <v>45</v>
      </c>
      <c r="D14">
        <v>0.88</v>
      </c>
      <c r="F14" s="4" t="s">
        <v>42</v>
      </c>
      <c r="G14">
        <v>0.28999999999999998</v>
      </c>
      <c r="H14" s="2"/>
      <c r="I14" s="4" t="s">
        <v>32</v>
      </c>
      <c r="J14">
        <v>0.17</v>
      </c>
      <c r="M14" s="4" t="s">
        <v>33</v>
      </c>
      <c r="N14">
        <v>0.1</v>
      </c>
      <c r="O14">
        <v>0.5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</row>
    <row r="15" spans="1:53" x14ac:dyDescent="0.25">
      <c r="A15" s="10" t="s">
        <v>34</v>
      </c>
      <c r="C15" s="4" t="s">
        <v>46</v>
      </c>
      <c r="D15">
        <v>0.98</v>
      </c>
      <c r="F15" s="4" t="s">
        <v>43</v>
      </c>
      <c r="G15">
        <v>0.67</v>
      </c>
      <c r="H15" s="2"/>
      <c r="I15" s="4" t="s">
        <v>35</v>
      </c>
      <c r="J15">
        <v>0.56000000000000005</v>
      </c>
      <c r="M15" s="4" t="s">
        <v>36</v>
      </c>
      <c r="N15">
        <v>0.21</v>
      </c>
      <c r="O15">
        <v>0.06</v>
      </c>
      <c r="Q15"/>
      <c r="R15"/>
      <c r="S15"/>
      <c r="T15" s="9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</row>
    <row r="16" spans="1:53" x14ac:dyDescent="0.25">
      <c r="A16" s="10" t="s">
        <v>37</v>
      </c>
      <c r="C16" s="4" t="s">
        <v>47</v>
      </c>
      <c r="D16">
        <v>0.34</v>
      </c>
      <c r="F16" s="4" t="s">
        <v>44</v>
      </c>
      <c r="G16">
        <v>0.75</v>
      </c>
      <c r="H16" s="2"/>
      <c r="I16" s="4" t="s">
        <v>38</v>
      </c>
      <c r="J16">
        <v>0.33</v>
      </c>
      <c r="M16" s="4" t="s">
        <v>39</v>
      </c>
      <c r="N16">
        <v>0.08</v>
      </c>
      <c r="O16">
        <v>0.89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</row>
    <row r="17" spans="1:53" x14ac:dyDescent="0.25">
      <c r="A17" s="8" t="s">
        <v>40</v>
      </c>
      <c r="H17" s="2"/>
      <c r="M17" s="5"/>
      <c r="N17"/>
      <c r="O17"/>
      <c r="Q17"/>
      <c r="R17"/>
      <c r="S17" s="9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</row>
    <row r="18" spans="1:53" x14ac:dyDescent="0.25">
      <c r="D18"/>
      <c r="F18" s="7" t="s">
        <v>41</v>
      </c>
      <c r="H18" s="2"/>
      <c r="I18" s="11"/>
      <c r="J18"/>
      <c r="M18" s="5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</row>
    <row r="19" spans="1:53" x14ac:dyDescent="0.25">
      <c r="C19"/>
      <c r="D19"/>
      <c r="E19"/>
      <c r="F19"/>
      <c r="G19"/>
      <c r="H19" s="2"/>
      <c r="I19"/>
      <c r="J19"/>
      <c r="K19"/>
      <c r="L19"/>
      <c r="M19"/>
      <c r="N19"/>
      <c r="O19"/>
      <c r="P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</row>
    <row r="20" spans="1:53" x14ac:dyDescent="0.25">
      <c r="E20"/>
      <c r="F20" s="12" t="s">
        <v>48</v>
      </c>
      <c r="G20" s="1"/>
      <c r="H20" s="1"/>
      <c r="I20" s="13"/>
      <c r="J20" s="1"/>
      <c r="K20" s="1"/>
      <c r="L20" s="1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</row>
    <row r="21" spans="1:53" x14ac:dyDescent="0.25"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</row>
    <row r="22" spans="1:53" x14ac:dyDescent="0.25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</row>
    <row r="23" spans="1:53" x14ac:dyDescent="0.25"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</row>
    <row r="24" spans="1:53" x14ac:dyDescent="0.25"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</row>
    <row r="25" spans="1:53" x14ac:dyDescent="0.25">
      <c r="I25" s="6"/>
      <c r="J25"/>
      <c r="U25" s="6"/>
      <c r="V25" s="6"/>
      <c r="Z25" s="6"/>
      <c r="AB25" s="6"/>
      <c r="AC25" s="6"/>
      <c r="AE25" s="6"/>
      <c r="AG25" s="6"/>
      <c r="AI25" s="6"/>
      <c r="AK25" s="6"/>
      <c r="AM25" s="6"/>
      <c r="AO25" s="6"/>
      <c r="AP25" s="6"/>
      <c r="AR25" s="6"/>
      <c r="AT25" s="6"/>
      <c r="AV25" s="6"/>
    </row>
    <row r="26" spans="1:53" x14ac:dyDescent="0.25">
      <c r="J26"/>
    </row>
    <row r="27" spans="1:53" x14ac:dyDescent="0.25">
      <c r="J27"/>
      <c r="W27" s="14"/>
      <c r="X27" s="14"/>
      <c r="Y27" s="14"/>
      <c r="Z27" s="14"/>
    </row>
  </sheetData>
  <mergeCells count="42">
    <mergeCell ref="AY3:BA3"/>
    <mergeCell ref="W27:X27"/>
    <mergeCell ref="Y27:Z27"/>
    <mergeCell ref="Q3:Q4"/>
    <mergeCell ref="R3:R4"/>
    <mergeCell ref="S3:S4"/>
    <mergeCell ref="AA3:AC3"/>
    <mergeCell ref="AD3:AF3"/>
    <mergeCell ref="AG3:AI3"/>
    <mergeCell ref="V2:V4"/>
    <mergeCell ref="W2:W4"/>
    <mergeCell ref="X2:X4"/>
    <mergeCell ref="Y2:Y4"/>
    <mergeCell ref="Z2:Z4"/>
    <mergeCell ref="AA2:BA2"/>
    <mergeCell ref="N2:S2"/>
    <mergeCell ref="AV3:AX3"/>
    <mergeCell ref="AJ3:AL3"/>
    <mergeCell ref="AM3:AO3"/>
    <mergeCell ref="AP3:AR3"/>
    <mergeCell ref="AS3:AU3"/>
    <mergeCell ref="M2:M4"/>
    <mergeCell ref="K3:K4"/>
    <mergeCell ref="L3:L4"/>
    <mergeCell ref="N3:N4"/>
    <mergeCell ref="O3:O4"/>
    <mergeCell ref="J3:J4"/>
    <mergeCell ref="W1:X1"/>
    <mergeCell ref="Y1:Z1"/>
    <mergeCell ref="T2:U2"/>
    <mergeCell ref="B2:B4"/>
    <mergeCell ref="C2:C4"/>
    <mergeCell ref="D2:F2"/>
    <mergeCell ref="G2:I2"/>
    <mergeCell ref="J2:L2"/>
    <mergeCell ref="P3:P4"/>
    <mergeCell ref="D3:D4"/>
    <mergeCell ref="E3:E4"/>
    <mergeCell ref="F3:F4"/>
    <mergeCell ref="G3:G4"/>
    <mergeCell ref="H3:H4"/>
    <mergeCell ref="I3:I4"/>
  </mergeCells>
  <printOptions gridLines="1"/>
  <pageMargins left="3.937007874015748E-2" right="3.937007874015748E-2" top="0.74803149606299213" bottom="0.74803149606299213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Cabecera</vt:lpstr>
      <vt:lpstr>Cabecera!Área_de_impresión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Carena</dc:creator>
  <cp:lastModifiedBy>alumno</cp:lastModifiedBy>
  <cp:lastPrinted>2025-06-17T18:43:15Z</cp:lastPrinted>
  <dcterms:created xsi:type="dcterms:W3CDTF">2025-06-12T22:20:09Z</dcterms:created>
  <dcterms:modified xsi:type="dcterms:W3CDTF">2025-06-21T16:25:11Z</dcterms:modified>
</cp:coreProperties>
</file>