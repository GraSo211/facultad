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lumno.GI\Documents\"/>
    </mc:Choice>
  </mc:AlternateContent>
  <xr:revisionPtr revIDLastSave="0" documentId="13_ncr:1_{DA2C2326-98CD-4C17-8A0F-31EA39876C6B}" xr6:coauthVersionLast="47" xr6:coauthVersionMax="47" xr10:uidLastSave="{00000000-0000-0000-0000-000000000000}"/>
  <bookViews>
    <workbookView xWindow="6930" yWindow="2520" windowWidth="21840" windowHeight="12645" tabRatio="257" xr2:uid="{00000000-000D-0000-FFFF-FFFF00000000}"/>
  </bookViews>
  <sheets>
    <sheet name="10 filas" sheetId="6" r:id="rId1"/>
  </sheets>
  <definedNames>
    <definedName name="_xlnm.Print_Area" localSheetId="0">'10 filas'!$A$2:$Z$27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18" i="6" l="1"/>
  <c r="AO18" i="6"/>
  <c r="AN18" i="6"/>
  <c r="AM18" i="6"/>
  <c r="Z18" i="6"/>
  <c r="Y18" i="6"/>
  <c r="W18" i="6"/>
  <c r="P18" i="6"/>
  <c r="R18" i="6" s="1"/>
  <c r="T18" i="6"/>
  <c r="M18" i="6"/>
  <c r="L18" i="6" l="1"/>
  <c r="K18" i="6"/>
  <c r="I18" i="6"/>
  <c r="F18" i="6"/>
  <c r="C18" i="6"/>
  <c r="AR17" i="6"/>
  <c r="AO17" i="6"/>
  <c r="AN17" i="6"/>
  <c r="AM17" i="6"/>
  <c r="Z17" i="6"/>
  <c r="Y17" i="6"/>
  <c r="W17" i="6"/>
  <c r="U17" i="6"/>
  <c r="T17" i="6"/>
  <c r="S17" i="6"/>
  <c r="R17" i="6"/>
  <c r="L17" i="6"/>
  <c r="I17" i="6"/>
  <c r="F17" i="6"/>
  <c r="E17" i="6"/>
  <c r="C17" i="6"/>
  <c r="S16" i="6"/>
  <c r="R16" i="6"/>
  <c r="P16" i="6"/>
  <c r="AO16" i="6"/>
  <c r="AN16" i="6"/>
  <c r="AM16" i="6"/>
  <c r="W16" i="6"/>
  <c r="Y16" i="6"/>
  <c r="T16" i="6"/>
  <c r="L16" i="6"/>
  <c r="I16" i="6"/>
  <c r="F16" i="6"/>
  <c r="C16" i="6"/>
</calcChain>
</file>

<file path=xl/sharedStrings.xml><?xml version="1.0" encoding="utf-8"?>
<sst xmlns="http://schemas.openxmlformats.org/spreadsheetml/2006/main" count="86" uniqueCount="52">
  <si>
    <t>Evento</t>
  </si>
  <si>
    <t>RND</t>
  </si>
  <si>
    <t>fin ayuda radio</t>
  </si>
  <si>
    <t>RND 1</t>
  </si>
  <si>
    <t>RND 2</t>
  </si>
  <si>
    <t>tiempo atención 2</t>
  </si>
  <si>
    <t>tiempo atención 1</t>
  </si>
  <si>
    <t>Estado</t>
  </si>
  <si>
    <t>MECANICO (N)</t>
  </si>
  <si>
    <t>Cola de Camiones</t>
  </si>
  <si>
    <t>AC
Tiempos de espera</t>
  </si>
  <si>
    <t>Hora Lleg.</t>
  </si>
  <si>
    <t>Tipo</t>
  </si>
  <si>
    <t>CAMION</t>
  </si>
  <si>
    <t>(min)
Reloj</t>
  </si>
  <si>
    <t>SA(1)</t>
  </si>
  <si>
    <t>SA(2)</t>
  </si>
  <si>
    <t>com</t>
  </si>
  <si>
    <t>rev</t>
  </si>
  <si>
    <t>próxima llamada</t>
  </si>
  <si>
    <t>Car.Comb.</t>
  </si>
  <si>
    <t>Rev.Cam.</t>
  </si>
  <si>
    <t>fin_ayuda_radio</t>
  </si>
  <si>
    <t>A)</t>
  </si>
  <si>
    <t>B)</t>
  </si>
  <si>
    <t>Nro. Evento</t>
  </si>
  <si>
    <t>lleg_camión_carga</t>
  </si>
  <si>
    <t>lleg_camión_revisión</t>
  </si>
  <si>
    <t>llegada_llamada_radio</t>
  </si>
  <si>
    <t>Tpo. entre
llegadas</t>
  </si>
  <si>
    <t>fin_atención (i)</t>
  </si>
  <si>
    <t>AC Tiempos de permanen cia</t>
  </si>
  <si>
    <t>Cont. Cam. atención finalizada</t>
  </si>
  <si>
    <t>Cont. Cam. con acceso a mecánico</t>
  </si>
  <si>
    <t>--</t>
  </si>
  <si>
    <t>OCULTO</t>
  </si>
  <si>
    <t>Estos son los eventuales</t>
  </si>
  <si>
    <t>RNDs a usar en cada evento --&gt;</t>
  </si>
  <si>
    <t>Primero el de arriba</t>
  </si>
  <si>
    <t>luego el segundo etc.</t>
  </si>
  <si>
    <t>SEGÚN DEMANDA de cada evento</t>
  </si>
  <si>
    <t>(usar los que necesite para cada evento)</t>
  </si>
  <si>
    <t>próxima llegada carga</t>
  </si>
  <si>
    <t>próxima llegada revisión</t>
  </si>
  <si>
    <t>Fin Atenc. Mecánico 1</t>
  </si>
  <si>
    <t>Fin Atenc. Mecánico 2</t>
  </si>
  <si>
    <t>Fin Atencion 2</t>
  </si>
  <si>
    <t>Rev. Cam</t>
  </si>
  <si>
    <t>Llegada Cam Combustible</t>
  </si>
  <si>
    <t>EA</t>
  </si>
  <si>
    <t>Llamada Radio</t>
  </si>
  <si>
    <t>Llamada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</si>
</sst>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2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" fontId="3" fillId="0" borderId="0" xfId="0" applyNumberFormat="1" applyFont="1"/>
    <xf numFmtId="2" fontId="4" fillId="0" borderId="0" xfId="0" applyNumberFormat="1" applyFont="1"/>
    <xf numFmtId="0" fontId="0" fillId="0" borderId="0" xfId="0" applyFill="1" applyAlignment="1">
      <alignment horizontal="center"/>
    </xf>
    <xf numFmtId="0" fontId="0" fillId="0" borderId="0" xfId="0" applyFill="1"/>
    <xf numFmtId="2" fontId="0" fillId="0" borderId="0" xfId="0" applyNumberFormat="1" applyFill="1"/>
    <xf numFmtId="2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 wrapText="1"/>
    </xf>
    <xf numFmtId="2" fontId="1" fillId="3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7" borderId="1" xfId="0" applyFont="1" applyFill="1" applyBorder="1" applyAlignment="1">
      <alignment horizontal="left"/>
    </xf>
    <xf numFmtId="2" fontId="1" fillId="0" borderId="1" xfId="0" applyNumberFormat="1" applyFont="1" applyBorder="1" applyAlignment="1">
      <alignment horizontal="center"/>
    </xf>
    <xf numFmtId="2" fontId="1" fillId="4" borderId="1" xfId="0" applyNumberFormat="1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2" fillId="8" borderId="1" xfId="0" applyFont="1" applyFill="1" applyBorder="1"/>
    <xf numFmtId="0" fontId="0" fillId="8" borderId="1" xfId="0" applyFill="1" applyBorder="1"/>
    <xf numFmtId="0" fontId="0" fillId="8" borderId="1" xfId="0" quotePrefix="1" applyFill="1" applyBorder="1" applyAlignment="1">
      <alignment horizontal="center"/>
    </xf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3799E-196D-4EAC-BDBA-B3F8117F05CE}">
  <dimension ref="A1:BA29"/>
  <sheetViews>
    <sheetView tabSelected="1" workbookViewId="0">
      <selection activeCell="A18" sqref="A18:XFD18"/>
    </sheetView>
  </sheetViews>
  <sheetFormatPr baseColWidth="10" defaultRowHeight="15" x14ac:dyDescent="0.25"/>
  <cols>
    <col min="1" max="1" width="7" style="1" customWidth="1"/>
    <col min="2" max="2" width="24.7109375" customWidth="1"/>
    <col min="3" max="3" width="7.28515625" style="3" customWidth="1"/>
    <col min="4" max="4" width="6.7109375" style="3" customWidth="1"/>
    <col min="5" max="5" width="8" style="3" customWidth="1"/>
    <col min="6" max="6" width="9.5703125" style="3" customWidth="1"/>
    <col min="7" max="7" width="7" style="3" customWidth="1"/>
    <col min="8" max="8" width="8" style="3" customWidth="1"/>
    <col min="9" max="9" width="9.5703125" style="3" customWidth="1"/>
    <col min="10" max="10" width="7" style="3" customWidth="1"/>
    <col min="11" max="11" width="8" style="3" customWidth="1"/>
    <col min="12" max="13" width="9.5703125" style="3" customWidth="1"/>
    <col min="14" max="15" width="6.85546875" style="3" customWidth="1"/>
    <col min="16" max="16" width="8.28515625" style="3" customWidth="1"/>
    <col min="17" max="17" width="8.42578125" style="3" customWidth="1"/>
    <col min="18" max="19" width="9.5703125" style="3" customWidth="1"/>
    <col min="20" max="21" width="9.7109375" style="1" bestFit="1" customWidth="1"/>
    <col min="22" max="22" width="9.28515625" style="1" customWidth="1"/>
    <col min="23" max="23" width="8.5703125" style="4" customWidth="1"/>
    <col min="24" max="24" width="9.28515625" style="1" customWidth="1"/>
    <col min="25" max="25" width="10.5703125" style="4" customWidth="1"/>
    <col min="26" max="26" width="9.5703125" style="1" customWidth="1"/>
    <col min="27" max="46" width="6.42578125" style="1" customWidth="1"/>
    <col min="47" max="47" width="6.42578125" style="4" customWidth="1"/>
    <col min="48" max="49" width="6.42578125" style="1" customWidth="1"/>
    <col min="50" max="50" width="6.42578125" style="4" customWidth="1"/>
    <col min="51" max="52" width="6.42578125" style="1" customWidth="1"/>
    <col min="53" max="53" width="6.42578125" style="4" customWidth="1"/>
  </cols>
  <sheetData>
    <row r="1" spans="1:53" x14ac:dyDescent="0.25">
      <c r="W1" s="15" t="s">
        <v>23</v>
      </c>
      <c r="X1" s="15"/>
      <c r="Y1" s="15" t="s">
        <v>24</v>
      </c>
      <c r="Z1" s="15"/>
    </row>
    <row r="2" spans="1:53" s="2" customFormat="1" ht="15" customHeight="1" x14ac:dyDescent="0.25">
      <c r="A2" s="16"/>
      <c r="B2" s="17" t="s">
        <v>0</v>
      </c>
      <c r="C2" s="18" t="s">
        <v>14</v>
      </c>
      <c r="D2" s="19" t="s">
        <v>26</v>
      </c>
      <c r="E2" s="19"/>
      <c r="F2" s="19"/>
      <c r="G2" s="20" t="s">
        <v>27</v>
      </c>
      <c r="H2" s="20"/>
      <c r="I2" s="20"/>
      <c r="J2" s="21" t="s">
        <v>28</v>
      </c>
      <c r="K2" s="21"/>
      <c r="L2" s="21"/>
      <c r="M2" s="22" t="s">
        <v>2</v>
      </c>
      <c r="N2" s="23" t="s">
        <v>30</v>
      </c>
      <c r="O2" s="23"/>
      <c r="P2" s="23"/>
      <c r="Q2" s="23"/>
      <c r="R2" s="23"/>
      <c r="S2" s="23"/>
      <c r="T2" s="24" t="s">
        <v>8</v>
      </c>
      <c r="U2" s="24"/>
      <c r="V2" s="25" t="s">
        <v>9</v>
      </c>
      <c r="W2" s="18" t="s">
        <v>10</v>
      </c>
      <c r="X2" s="25" t="s">
        <v>33</v>
      </c>
      <c r="Y2" s="18" t="s">
        <v>31</v>
      </c>
      <c r="Z2" s="25" t="s">
        <v>32</v>
      </c>
      <c r="AA2" s="26" t="s">
        <v>13</v>
      </c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</row>
    <row r="3" spans="1:53" s="2" customFormat="1" ht="14.45" customHeight="1" x14ac:dyDescent="0.25">
      <c r="A3" s="16"/>
      <c r="B3" s="17"/>
      <c r="C3" s="27"/>
      <c r="D3" s="18" t="s">
        <v>1</v>
      </c>
      <c r="E3" s="18" t="s">
        <v>29</v>
      </c>
      <c r="F3" s="22" t="s">
        <v>42</v>
      </c>
      <c r="G3" s="18" t="s">
        <v>1</v>
      </c>
      <c r="H3" s="18" t="s">
        <v>29</v>
      </c>
      <c r="I3" s="28" t="s">
        <v>43</v>
      </c>
      <c r="J3" s="18" t="s">
        <v>1</v>
      </c>
      <c r="K3" s="18" t="s">
        <v>29</v>
      </c>
      <c r="L3" s="21" t="s">
        <v>19</v>
      </c>
      <c r="M3" s="22"/>
      <c r="N3" s="18" t="s">
        <v>3</v>
      </c>
      <c r="O3" s="18" t="s">
        <v>4</v>
      </c>
      <c r="P3" s="18" t="s">
        <v>6</v>
      </c>
      <c r="Q3" s="18" t="s">
        <v>5</v>
      </c>
      <c r="R3" s="29" t="s">
        <v>44</v>
      </c>
      <c r="S3" s="29" t="s">
        <v>45</v>
      </c>
      <c r="T3" s="16">
        <v>1</v>
      </c>
      <c r="U3" s="16">
        <v>2</v>
      </c>
      <c r="V3" s="25"/>
      <c r="W3" s="27"/>
      <c r="X3" s="25"/>
      <c r="Y3" s="27"/>
      <c r="Z3" s="25"/>
      <c r="AA3" s="25">
        <v>1</v>
      </c>
      <c r="AB3" s="25"/>
      <c r="AC3" s="25"/>
      <c r="AD3" s="25">
        <v>2</v>
      </c>
      <c r="AE3" s="25"/>
      <c r="AF3" s="25"/>
      <c r="AG3" s="25">
        <v>3</v>
      </c>
      <c r="AH3" s="25"/>
      <c r="AI3" s="25"/>
      <c r="AJ3" s="25">
        <v>4</v>
      </c>
      <c r="AK3" s="25"/>
      <c r="AL3" s="25"/>
      <c r="AM3" s="25">
        <v>5</v>
      </c>
      <c r="AN3" s="25"/>
      <c r="AO3" s="25"/>
      <c r="AP3" s="25">
        <v>6</v>
      </c>
      <c r="AQ3" s="25"/>
      <c r="AR3" s="25"/>
      <c r="AS3" s="25">
        <v>7</v>
      </c>
      <c r="AT3" s="25"/>
      <c r="AU3" s="25"/>
      <c r="AV3" s="25">
        <v>8</v>
      </c>
      <c r="AW3" s="25"/>
      <c r="AX3" s="25"/>
      <c r="AY3" s="25">
        <v>9</v>
      </c>
      <c r="AZ3" s="25"/>
      <c r="BA3" s="25"/>
    </row>
    <row r="4" spans="1:53" s="2" customFormat="1" ht="30" customHeight="1" x14ac:dyDescent="0.25">
      <c r="A4" s="30" t="s">
        <v>25</v>
      </c>
      <c r="B4" s="17"/>
      <c r="C4" s="27"/>
      <c r="D4" s="18"/>
      <c r="E4" s="18"/>
      <c r="F4" s="22"/>
      <c r="G4" s="18"/>
      <c r="H4" s="18"/>
      <c r="I4" s="28"/>
      <c r="J4" s="18"/>
      <c r="K4" s="18"/>
      <c r="L4" s="21"/>
      <c r="M4" s="22"/>
      <c r="N4" s="18"/>
      <c r="O4" s="18"/>
      <c r="P4" s="18"/>
      <c r="Q4" s="18"/>
      <c r="R4" s="29"/>
      <c r="S4" s="29"/>
      <c r="T4" s="16" t="s">
        <v>7</v>
      </c>
      <c r="U4" s="16" t="s">
        <v>7</v>
      </c>
      <c r="V4" s="25"/>
      <c r="W4" s="27"/>
      <c r="X4" s="25"/>
      <c r="Y4" s="27"/>
      <c r="Z4" s="25"/>
      <c r="AA4" s="30" t="s">
        <v>7</v>
      </c>
      <c r="AB4" s="31" t="s">
        <v>12</v>
      </c>
      <c r="AC4" s="30" t="s">
        <v>11</v>
      </c>
      <c r="AD4" s="30" t="s">
        <v>7</v>
      </c>
      <c r="AE4" s="31" t="s">
        <v>12</v>
      </c>
      <c r="AF4" s="30" t="s">
        <v>11</v>
      </c>
      <c r="AG4" s="30" t="s">
        <v>7</v>
      </c>
      <c r="AH4" s="31" t="s">
        <v>12</v>
      </c>
      <c r="AI4" s="30" t="s">
        <v>11</v>
      </c>
      <c r="AJ4" s="30" t="s">
        <v>7</v>
      </c>
      <c r="AK4" s="31" t="s">
        <v>12</v>
      </c>
      <c r="AL4" s="30" t="s">
        <v>11</v>
      </c>
      <c r="AM4" s="30" t="s">
        <v>7</v>
      </c>
      <c r="AN4" s="31" t="s">
        <v>12</v>
      </c>
      <c r="AO4" s="30" t="s">
        <v>11</v>
      </c>
      <c r="AP4" s="30" t="s">
        <v>7</v>
      </c>
      <c r="AQ4" s="31" t="s">
        <v>12</v>
      </c>
      <c r="AR4" s="30" t="s">
        <v>11</v>
      </c>
      <c r="AS4" s="30" t="s">
        <v>7</v>
      </c>
      <c r="AT4" s="31" t="s">
        <v>12</v>
      </c>
      <c r="AU4" s="31" t="s">
        <v>11</v>
      </c>
      <c r="AV4" s="30" t="s">
        <v>7</v>
      </c>
      <c r="AW4" s="31" t="s">
        <v>12</v>
      </c>
      <c r="AX4" s="31" t="s">
        <v>11</v>
      </c>
      <c r="AY4" s="30" t="s">
        <v>7</v>
      </c>
      <c r="AZ4" s="31" t="s">
        <v>12</v>
      </c>
      <c r="BA4" s="31" t="s">
        <v>11</v>
      </c>
    </row>
    <row r="5" spans="1:53" x14ac:dyDescent="0.25">
      <c r="A5" s="32"/>
      <c r="B5" s="33"/>
      <c r="C5" s="33"/>
      <c r="D5" s="33"/>
      <c r="E5" s="33"/>
      <c r="F5" s="37"/>
      <c r="G5" s="33"/>
      <c r="H5" s="33"/>
      <c r="I5" s="37"/>
      <c r="J5" s="33"/>
      <c r="K5" s="34"/>
      <c r="L5" s="38"/>
      <c r="M5" s="38"/>
      <c r="N5" s="34"/>
      <c r="O5" s="34"/>
      <c r="P5" s="34"/>
      <c r="Q5" s="34"/>
      <c r="R5" s="38"/>
      <c r="S5" s="38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</row>
    <row r="6" spans="1:53" x14ac:dyDescent="0.25">
      <c r="A6" s="32"/>
      <c r="B6" s="33"/>
      <c r="C6" s="33"/>
      <c r="D6" s="33"/>
      <c r="E6" s="33"/>
      <c r="F6" s="37"/>
      <c r="G6" s="33"/>
      <c r="H6" s="33"/>
      <c r="I6" s="37"/>
      <c r="J6" s="33"/>
      <c r="K6" s="34"/>
      <c r="L6" s="38"/>
      <c r="M6" s="38"/>
      <c r="N6" s="34"/>
      <c r="O6" s="34"/>
      <c r="P6" s="34"/>
      <c r="Q6" s="34"/>
      <c r="R6" s="38"/>
      <c r="S6" s="38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</row>
    <row r="7" spans="1:53" x14ac:dyDescent="0.25">
      <c r="A7" s="32"/>
      <c r="B7" s="33"/>
      <c r="C7" s="33"/>
      <c r="D7" s="33"/>
      <c r="E7" s="33"/>
      <c r="F7" s="37"/>
      <c r="G7" s="33"/>
      <c r="H7" s="33"/>
      <c r="I7" s="37"/>
      <c r="J7" s="33"/>
      <c r="K7" s="34"/>
      <c r="L7" s="38"/>
      <c r="M7" s="38"/>
      <c r="N7" s="34"/>
      <c r="O7" s="34"/>
      <c r="P7" s="34"/>
      <c r="Q7" s="34"/>
      <c r="R7" s="38"/>
      <c r="S7" s="38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</row>
    <row r="8" spans="1:53" x14ac:dyDescent="0.25">
      <c r="A8" s="32"/>
      <c r="B8" s="33"/>
      <c r="C8" s="33"/>
      <c r="D8" s="33"/>
      <c r="E8" s="33"/>
      <c r="F8" s="37"/>
      <c r="G8" s="33"/>
      <c r="H8" s="33"/>
      <c r="I8" s="37"/>
      <c r="J8" s="33"/>
      <c r="K8" s="34"/>
      <c r="L8" s="38"/>
      <c r="M8" s="38"/>
      <c r="N8" s="34"/>
      <c r="O8" s="34"/>
      <c r="P8" s="34"/>
      <c r="Q8" s="34"/>
      <c r="R8" s="38"/>
      <c r="S8" s="38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</row>
    <row r="9" spans="1:53" x14ac:dyDescent="0.25">
      <c r="A9" s="32"/>
      <c r="B9" s="33"/>
      <c r="C9" s="33"/>
      <c r="D9" s="33"/>
      <c r="E9" s="33"/>
      <c r="F9" s="37"/>
      <c r="G9" s="33"/>
      <c r="H9" s="33"/>
      <c r="I9" s="37"/>
      <c r="J9" s="33"/>
      <c r="K9" s="34"/>
      <c r="L9" s="38"/>
      <c r="M9" s="38"/>
      <c r="N9" s="34"/>
      <c r="O9" s="34"/>
      <c r="P9" s="34"/>
      <c r="Q9" s="34"/>
      <c r="R9" s="38"/>
      <c r="S9" s="38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</row>
    <row r="10" spans="1:53" x14ac:dyDescent="0.25">
      <c r="A10" s="32"/>
      <c r="B10" s="33"/>
      <c r="C10" s="33"/>
      <c r="D10" s="33"/>
      <c r="E10" s="33"/>
      <c r="F10" s="37"/>
      <c r="G10" s="33"/>
      <c r="H10" s="33"/>
      <c r="I10" s="37"/>
      <c r="J10" s="33"/>
      <c r="K10" s="34"/>
      <c r="L10" s="38"/>
      <c r="M10" s="38"/>
      <c r="N10" s="34"/>
      <c r="O10" s="34"/>
      <c r="P10" s="34"/>
      <c r="Q10" s="34"/>
      <c r="R10" s="38"/>
      <c r="S10" s="38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</row>
    <row r="11" spans="1:53" x14ac:dyDescent="0.25">
      <c r="A11" s="32"/>
      <c r="B11" s="33"/>
      <c r="C11" s="33"/>
      <c r="D11" s="33"/>
      <c r="E11" s="33"/>
      <c r="F11" s="37"/>
      <c r="G11" s="33"/>
      <c r="H11" s="33"/>
      <c r="I11" s="37"/>
      <c r="J11" s="33"/>
      <c r="K11" s="34"/>
      <c r="L11" s="38"/>
      <c r="M11" s="38"/>
      <c r="N11" s="34"/>
      <c r="O11" s="34"/>
      <c r="P11" s="34"/>
      <c r="Q11" s="34"/>
      <c r="R11" s="38"/>
      <c r="S11" s="38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</row>
    <row r="12" spans="1:53" x14ac:dyDescent="0.25">
      <c r="A12" s="32"/>
      <c r="B12" s="33"/>
      <c r="C12" s="33"/>
      <c r="D12" s="33"/>
      <c r="E12" s="33"/>
      <c r="F12" s="37"/>
      <c r="G12" s="33"/>
      <c r="H12" s="33"/>
      <c r="I12" s="37"/>
      <c r="J12" s="33"/>
      <c r="K12" s="34"/>
      <c r="L12" s="38"/>
      <c r="M12" s="38"/>
      <c r="N12" s="34"/>
      <c r="O12" s="34"/>
      <c r="P12" s="34"/>
      <c r="Q12" s="34"/>
      <c r="R12" s="38"/>
      <c r="S12" s="38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</row>
    <row r="13" spans="1:53" x14ac:dyDescent="0.25">
      <c r="A13" s="32"/>
      <c r="B13" s="33"/>
      <c r="C13" s="33"/>
      <c r="D13" s="33"/>
      <c r="E13" s="33"/>
      <c r="F13" s="37"/>
      <c r="G13" s="33"/>
      <c r="H13" s="33"/>
      <c r="I13" s="37"/>
      <c r="J13" s="33"/>
      <c r="K13" s="34"/>
      <c r="L13" s="38"/>
      <c r="M13" s="38"/>
      <c r="N13" s="34"/>
      <c r="O13" s="34"/>
      <c r="P13" s="34"/>
      <c r="Q13" s="34"/>
      <c r="R13" s="38"/>
      <c r="S13" s="38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</row>
    <row r="14" spans="1:53" x14ac:dyDescent="0.25">
      <c r="A14" s="32"/>
      <c r="B14" s="34"/>
      <c r="C14" s="34"/>
      <c r="D14" s="34"/>
      <c r="E14" s="34"/>
      <c r="F14" s="38"/>
      <c r="G14" s="34"/>
      <c r="H14" s="34"/>
      <c r="I14" s="38"/>
      <c r="J14" s="34"/>
      <c r="K14" s="34"/>
      <c r="L14" s="38"/>
      <c r="M14" s="38"/>
      <c r="N14" s="34"/>
      <c r="O14" s="34"/>
      <c r="P14" s="34"/>
      <c r="Q14" s="34"/>
      <c r="R14" s="38"/>
      <c r="S14" s="38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</row>
    <row r="15" spans="1:53" x14ac:dyDescent="0.25">
      <c r="A15" s="32">
        <v>10</v>
      </c>
      <c r="B15" s="34" t="s">
        <v>22</v>
      </c>
      <c r="C15" s="34">
        <v>25.21</v>
      </c>
      <c r="D15" s="34"/>
      <c r="E15" s="34"/>
      <c r="F15" s="38">
        <v>31.53</v>
      </c>
      <c r="G15" s="34"/>
      <c r="H15" s="34"/>
      <c r="I15" s="38">
        <v>44.8</v>
      </c>
      <c r="J15" s="34"/>
      <c r="K15" s="34"/>
      <c r="L15" s="38">
        <v>32.25</v>
      </c>
      <c r="M15" s="39" t="s">
        <v>34</v>
      </c>
      <c r="N15" s="34" t="s">
        <v>35</v>
      </c>
      <c r="O15" s="34" t="s">
        <v>35</v>
      </c>
      <c r="P15" s="34">
        <v>16.190000000000001</v>
      </c>
      <c r="Q15" s="34">
        <v>6.7</v>
      </c>
      <c r="R15" s="38">
        <v>41.4</v>
      </c>
      <c r="S15" s="37">
        <v>30.5</v>
      </c>
      <c r="T15" s="34" t="s">
        <v>21</v>
      </c>
      <c r="U15" s="34" t="s">
        <v>20</v>
      </c>
      <c r="V15" s="34">
        <v>0</v>
      </c>
      <c r="W15" s="34">
        <v>8.98</v>
      </c>
      <c r="X15" s="34">
        <v>5</v>
      </c>
      <c r="Y15" s="34">
        <v>22.05</v>
      </c>
      <c r="Z15" s="34">
        <v>3</v>
      </c>
      <c r="AA15" s="40"/>
      <c r="AB15" s="40"/>
      <c r="AC15" s="40"/>
      <c r="AD15" s="40"/>
      <c r="AE15" s="40"/>
      <c r="AF15" s="40"/>
      <c r="AG15" s="40"/>
      <c r="AH15" s="40"/>
      <c r="AI15" s="40"/>
      <c r="AJ15" s="34" t="s">
        <v>16</v>
      </c>
      <c r="AK15" s="34" t="s">
        <v>17</v>
      </c>
      <c r="AL15" s="34">
        <v>11.97</v>
      </c>
      <c r="AM15" s="34" t="s">
        <v>15</v>
      </c>
      <c r="AN15" s="34" t="s">
        <v>18</v>
      </c>
      <c r="AO15" s="34">
        <v>24.01</v>
      </c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</row>
    <row r="16" spans="1:53" s="11" customFormat="1" x14ac:dyDescent="0.25">
      <c r="A16" s="35">
        <v>11</v>
      </c>
      <c r="B16" s="36" t="s">
        <v>46</v>
      </c>
      <c r="C16" s="36">
        <f>S15</f>
        <v>30.5</v>
      </c>
      <c r="D16" s="36"/>
      <c r="E16" s="36"/>
      <c r="F16" s="37">
        <f>F15</f>
        <v>31.53</v>
      </c>
      <c r="G16" s="36"/>
      <c r="H16" s="36"/>
      <c r="I16" s="38">
        <f>I15</f>
        <v>44.8</v>
      </c>
      <c r="J16" s="36"/>
      <c r="K16" s="36"/>
      <c r="L16" s="38">
        <f>L15</f>
        <v>32.25</v>
      </c>
      <c r="M16" s="38"/>
      <c r="N16" s="36"/>
      <c r="O16" s="36"/>
      <c r="P16" s="36">
        <f>(R15-C16)/2</f>
        <v>5.4499999999999993</v>
      </c>
      <c r="Q16" s="36"/>
      <c r="R16" s="38">
        <f>P16+C16</f>
        <v>35.950000000000003</v>
      </c>
      <c r="S16" s="38">
        <f>P16+C16</f>
        <v>35.950000000000003</v>
      </c>
      <c r="T16" s="36" t="str">
        <f>T15</f>
        <v>Rev.Cam.</v>
      </c>
      <c r="U16" s="36" t="s">
        <v>47</v>
      </c>
      <c r="V16" s="36">
        <v>0</v>
      </c>
      <c r="W16" s="36">
        <f>W15</f>
        <v>8.98</v>
      </c>
      <c r="X16" s="36">
        <v>5</v>
      </c>
      <c r="Y16" s="36">
        <f>Y15+(C16-AL15)</f>
        <v>40.58</v>
      </c>
      <c r="Z16" s="36">
        <v>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40"/>
      <c r="AK16" s="40"/>
      <c r="AL16" s="40"/>
      <c r="AM16" s="36" t="str">
        <f>AM15</f>
        <v>SA(1)</v>
      </c>
      <c r="AN16" s="36" t="str">
        <f>AN15</f>
        <v>rev</v>
      </c>
      <c r="AO16" s="36">
        <f>AO15</f>
        <v>24.01</v>
      </c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</row>
    <row r="17" spans="1:53" s="11" customFormat="1" x14ac:dyDescent="0.25">
      <c r="A17" s="35">
        <v>12</v>
      </c>
      <c r="B17" s="36" t="s">
        <v>48</v>
      </c>
      <c r="C17" s="36">
        <f>F16</f>
        <v>31.53</v>
      </c>
      <c r="D17" s="36">
        <v>0.34</v>
      </c>
      <c r="E17" s="36">
        <f>TRUNC(-5*LN(1-D17),2)</f>
        <v>2.0699999999999998</v>
      </c>
      <c r="F17" s="38">
        <f>E17+C17</f>
        <v>33.6</v>
      </c>
      <c r="G17" s="36"/>
      <c r="H17" s="36"/>
      <c r="I17" s="38">
        <f>I16</f>
        <v>44.8</v>
      </c>
      <c r="J17" s="36"/>
      <c r="K17" s="36"/>
      <c r="L17" s="37">
        <f>L16</f>
        <v>32.25</v>
      </c>
      <c r="M17" s="38"/>
      <c r="N17" s="36"/>
      <c r="O17" s="36"/>
      <c r="P17" s="36"/>
      <c r="Q17" s="36"/>
      <c r="R17" s="38">
        <f>R16</f>
        <v>35.950000000000003</v>
      </c>
      <c r="S17" s="38">
        <f>S16</f>
        <v>35.950000000000003</v>
      </c>
      <c r="T17" s="36" t="str">
        <f>T16</f>
        <v>Rev.Cam.</v>
      </c>
      <c r="U17" s="36" t="str">
        <f>U16</f>
        <v>Rev. Cam</v>
      </c>
      <c r="V17" s="36">
        <v>1</v>
      </c>
      <c r="W17" s="36">
        <f>W16</f>
        <v>8.98</v>
      </c>
      <c r="X17" s="36">
        <v>5</v>
      </c>
      <c r="Y17" s="36">
        <f>Y16</f>
        <v>40.58</v>
      </c>
      <c r="Z17" s="36">
        <f>Z16</f>
        <v>4</v>
      </c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 t="str">
        <f>AM16</f>
        <v>SA(1)</v>
      </c>
      <c r="AN17" s="36" t="str">
        <f>AN16</f>
        <v>rev</v>
      </c>
      <c r="AO17" s="36">
        <f>AO16</f>
        <v>24.01</v>
      </c>
      <c r="AP17" s="36" t="s">
        <v>49</v>
      </c>
      <c r="AQ17" s="36" t="s">
        <v>17</v>
      </c>
      <c r="AR17" s="36">
        <f>C17</f>
        <v>31.53</v>
      </c>
      <c r="AS17" s="36"/>
      <c r="AT17" s="36"/>
      <c r="AU17" s="36"/>
      <c r="AV17" s="36"/>
      <c r="AW17" s="36"/>
      <c r="AX17" s="36"/>
      <c r="AY17" s="36"/>
      <c r="AZ17" s="36"/>
      <c r="BA17" s="36"/>
    </row>
    <row r="18" spans="1:53" s="11" customFormat="1" x14ac:dyDescent="0.25">
      <c r="A18" s="35">
        <v>13</v>
      </c>
      <c r="B18" s="36" t="s">
        <v>50</v>
      </c>
      <c r="C18" s="36">
        <f>L17</f>
        <v>32.25</v>
      </c>
      <c r="D18" s="36"/>
      <c r="E18" s="36"/>
      <c r="F18" s="38">
        <f>F17</f>
        <v>33.6</v>
      </c>
      <c r="G18" s="36"/>
      <c r="H18" s="36"/>
      <c r="I18" s="38">
        <f>I17</f>
        <v>44.8</v>
      </c>
      <c r="J18" s="36">
        <v>0.56000000000000005</v>
      </c>
      <c r="K18" s="36">
        <f>TRUNC(-70*LN(1-J18),2)</f>
        <v>57.46</v>
      </c>
      <c r="L18" s="38">
        <f>K18+C18</f>
        <v>89.710000000000008</v>
      </c>
      <c r="M18" s="38">
        <f>C18+6</f>
        <v>38.25</v>
      </c>
      <c r="N18" s="36"/>
      <c r="O18" s="36"/>
      <c r="P18" s="36">
        <f>(R17-C18)*2-1.7</f>
        <v>5.7000000000000055</v>
      </c>
      <c r="Q18" s="36"/>
      <c r="R18" s="38">
        <f>P18+C18-Q18</f>
        <v>37.950000000000003</v>
      </c>
      <c r="S18" s="38"/>
      <c r="T18" s="36" t="str">
        <f>T17</f>
        <v>Rev.Cam.</v>
      </c>
      <c r="U18" s="36" t="s">
        <v>51</v>
      </c>
      <c r="V18" s="36">
        <v>1</v>
      </c>
      <c r="W18" s="36">
        <f>W17</f>
        <v>8.98</v>
      </c>
      <c r="X18" s="36">
        <v>5</v>
      </c>
      <c r="Y18" s="36">
        <f>Y17</f>
        <v>40.58</v>
      </c>
      <c r="Z18" s="36">
        <f>Z17</f>
        <v>4</v>
      </c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 t="str">
        <f>AM17</f>
        <v>SA(1)</v>
      </c>
      <c r="AN18" s="36" t="str">
        <f>AN17</f>
        <v>rev</v>
      </c>
      <c r="AO18" s="36">
        <f>AO17</f>
        <v>24.01</v>
      </c>
      <c r="AP18" s="36" t="s">
        <v>49</v>
      </c>
      <c r="AQ18" s="36" t="s">
        <v>17</v>
      </c>
      <c r="AR18" s="36">
        <f>AR17</f>
        <v>31.53</v>
      </c>
      <c r="AS18" s="36"/>
      <c r="AT18" s="36"/>
      <c r="AU18" s="36"/>
      <c r="AV18" s="36"/>
      <c r="AW18" s="36"/>
      <c r="AX18" s="36"/>
      <c r="AY18" s="36"/>
      <c r="AZ18" s="36"/>
      <c r="BA18" s="36"/>
    </row>
    <row r="19" spans="1:53" s="11" customFormat="1" x14ac:dyDescent="0.25">
      <c r="A19" s="10"/>
    </row>
    <row r="20" spans="1:53" s="11" customFormat="1" x14ac:dyDescent="0.25">
      <c r="A20" s="10"/>
    </row>
    <row r="21" spans="1:53" x14ac:dyDescent="0.25">
      <c r="A21" s="7" t="s">
        <v>36</v>
      </c>
      <c r="F21" s="5"/>
      <c r="H21" s="1"/>
      <c r="M21" s="8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</row>
    <row r="22" spans="1:53" x14ac:dyDescent="0.25">
      <c r="A22" s="7" t="s">
        <v>37</v>
      </c>
      <c r="D22">
        <v>0.34</v>
      </c>
      <c r="G22">
        <v>0.22</v>
      </c>
      <c r="H22" s="1"/>
      <c r="J22">
        <v>0.56000000000000005</v>
      </c>
      <c r="N22">
        <v>0.19</v>
      </c>
      <c r="O22">
        <v>0.91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</row>
    <row r="23" spans="1:53" x14ac:dyDescent="0.25">
      <c r="A23" s="7" t="s">
        <v>38</v>
      </c>
      <c r="D23">
        <v>0.84</v>
      </c>
      <c r="G23">
        <v>0.16</v>
      </c>
      <c r="H23" s="1"/>
      <c r="J23">
        <v>0.84</v>
      </c>
      <c r="N23">
        <v>0.38</v>
      </c>
      <c r="O23">
        <v>7.0000000000000007E-2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</row>
    <row r="24" spans="1:53" x14ac:dyDescent="0.25">
      <c r="A24" s="7" t="s">
        <v>39</v>
      </c>
      <c r="D24" s="3">
        <v>0.61</v>
      </c>
      <c r="G24">
        <v>0.37</v>
      </c>
      <c r="H24" s="1"/>
      <c r="J24" s="3">
        <v>0.03</v>
      </c>
      <c r="N24" s="3">
        <v>0.27</v>
      </c>
      <c r="O24" s="3">
        <v>0.76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</row>
    <row r="25" spans="1:53" x14ac:dyDescent="0.25">
      <c r="A25" s="6" t="s">
        <v>40</v>
      </c>
      <c r="H25" s="1"/>
      <c r="M25" s="8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</row>
    <row r="26" spans="1:53" x14ac:dyDescent="0.25">
      <c r="F26" s="5" t="s">
        <v>41</v>
      </c>
      <c r="G26"/>
      <c r="H26" s="1"/>
      <c r="I26" s="9"/>
      <c r="J26"/>
      <c r="M26" s="8"/>
      <c r="N26"/>
      <c r="O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</row>
    <row r="27" spans="1:53" s="11" customFormat="1" x14ac:dyDescent="0.25">
      <c r="A27" s="10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0"/>
      <c r="U27" s="10"/>
      <c r="V27" s="10"/>
      <c r="W27" s="14"/>
      <c r="X27" s="14"/>
      <c r="Y27" s="14"/>
      <c r="Z27" s="14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3"/>
      <c r="AV27" s="10"/>
      <c r="AW27" s="10"/>
      <c r="AX27" s="13"/>
      <c r="AY27" s="10"/>
      <c r="AZ27" s="10"/>
      <c r="BA27" s="13"/>
    </row>
    <row r="28" spans="1:53" s="11" customFormat="1" x14ac:dyDescent="0.25">
      <c r="A28" s="10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0"/>
      <c r="U28" s="10"/>
      <c r="V28" s="10"/>
      <c r="W28" s="13"/>
      <c r="X28" s="10"/>
      <c r="Y28" s="13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3"/>
      <c r="AV28" s="10"/>
      <c r="AW28" s="10"/>
      <c r="AX28" s="13"/>
      <c r="AY28" s="10"/>
      <c r="AZ28" s="10"/>
      <c r="BA28" s="13"/>
    </row>
    <row r="29" spans="1:53" s="11" customFormat="1" x14ac:dyDescent="0.25">
      <c r="A29" s="10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0"/>
      <c r="U29" s="10"/>
      <c r="V29" s="10"/>
      <c r="W29" s="13"/>
      <c r="X29" s="10"/>
      <c r="Y29" s="13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3"/>
      <c r="AV29" s="10"/>
      <c r="AW29" s="10"/>
      <c r="AX29" s="13"/>
      <c r="AY29" s="10"/>
      <c r="AZ29" s="10"/>
      <c r="BA29" s="13"/>
    </row>
  </sheetData>
  <mergeCells count="42">
    <mergeCell ref="T2:U2"/>
    <mergeCell ref="B2:B4"/>
    <mergeCell ref="C2:C4"/>
    <mergeCell ref="D2:F2"/>
    <mergeCell ref="G2:I2"/>
    <mergeCell ref="J2:L2"/>
    <mergeCell ref="AJ3:AL3"/>
    <mergeCell ref="AM3:AO3"/>
    <mergeCell ref="AP3:AR3"/>
    <mergeCell ref="AS3:AU3"/>
    <mergeCell ref="W1:X1"/>
    <mergeCell ref="Y1:Z1"/>
    <mergeCell ref="P3:P4"/>
    <mergeCell ref="D3:D4"/>
    <mergeCell ref="E3:E4"/>
    <mergeCell ref="F3:F4"/>
    <mergeCell ref="G3:G4"/>
    <mergeCell ref="H3:H4"/>
    <mergeCell ref="I3:I4"/>
    <mergeCell ref="M2:M4"/>
    <mergeCell ref="N2:S2"/>
    <mergeCell ref="J3:J4"/>
    <mergeCell ref="K3:K4"/>
    <mergeCell ref="L3:L4"/>
    <mergeCell ref="N3:N4"/>
    <mergeCell ref="O3:O4"/>
    <mergeCell ref="AV3:AX3"/>
    <mergeCell ref="AY3:BA3"/>
    <mergeCell ref="W27:X27"/>
    <mergeCell ref="Y27:Z27"/>
    <mergeCell ref="Q3:Q4"/>
    <mergeCell ref="R3:R4"/>
    <mergeCell ref="S3:S4"/>
    <mergeCell ref="AA3:AC3"/>
    <mergeCell ref="AD3:AF3"/>
    <mergeCell ref="AG3:AI3"/>
    <mergeCell ref="V2:V4"/>
    <mergeCell ref="W2:W4"/>
    <mergeCell ref="X2:X4"/>
    <mergeCell ref="Y2:Y4"/>
    <mergeCell ref="Z2:Z4"/>
    <mergeCell ref="AA2:BA2"/>
  </mergeCells>
  <printOptions gridLines="1"/>
  <pageMargins left="3.937007874015748E-2" right="3.937007874015748E-2" top="0.74803149606299213" bottom="0.74803149606299213" header="0.31496062992125984" footer="0.31496062992125984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10 filas</vt:lpstr>
      <vt:lpstr>'10 filas'!Área_de_impresión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Carena</dc:creator>
  <cp:lastModifiedBy>alumno</cp:lastModifiedBy>
  <cp:lastPrinted>2025-06-17T18:43:15Z</cp:lastPrinted>
  <dcterms:created xsi:type="dcterms:W3CDTF">2025-06-12T22:20:09Z</dcterms:created>
  <dcterms:modified xsi:type="dcterms:W3CDTF">2025-06-21T16:49:41Z</dcterms:modified>
</cp:coreProperties>
</file>