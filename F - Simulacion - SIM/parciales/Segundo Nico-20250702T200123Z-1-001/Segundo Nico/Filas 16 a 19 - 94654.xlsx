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13_ncr:1_{432EF0D5-E93A-4F1D-8C73-CF81633164FE}" xr6:coauthVersionLast="47" xr6:coauthVersionMax="47" xr10:uidLastSave="{00000000-0000-0000-0000-000000000000}"/>
  <bookViews>
    <workbookView xWindow="0" yWindow="1215" windowWidth="28800" windowHeight="14985" tabRatio="468" xr2:uid="{00000000-000D-0000-FFFF-FFFF00000000}"/>
  </bookViews>
  <sheets>
    <sheet name="15 filas" sheetId="9" r:id="rId1"/>
  </sheets>
  <definedNames>
    <definedName name="_xlnm.Print_Area" localSheetId="0">'15 filas'!$A$5:$AP$30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7" i="9" l="1"/>
  <c r="S27" i="9"/>
  <c r="Q27" i="9"/>
  <c r="F27" i="9"/>
  <c r="E27" i="9"/>
  <c r="W26" i="9"/>
  <c r="U26" i="9"/>
  <c r="AC24" i="9"/>
  <c r="AC25" i="9"/>
  <c r="W25" i="9"/>
  <c r="U25" i="9"/>
  <c r="R25" i="9"/>
  <c r="Q25" i="9"/>
  <c r="U24" i="9"/>
  <c r="S24" i="9"/>
</calcChain>
</file>

<file path=xl/sharedStrings.xml><?xml version="1.0" encoding="utf-8"?>
<sst xmlns="http://schemas.openxmlformats.org/spreadsheetml/2006/main" count="142" uniqueCount="61">
  <si>
    <t>Evento</t>
  </si>
  <si>
    <t>RND</t>
  </si>
  <si>
    <t>próxima llegada</t>
  </si>
  <si>
    <t>RND Tipo</t>
  </si>
  <si>
    <t>Tipo</t>
  </si>
  <si>
    <t>fin ayuda telefónica</t>
  </si>
  <si>
    <t>tiempo atención</t>
  </si>
  <si>
    <t>Estado</t>
  </si>
  <si>
    <t>AC Ocupado</t>
  </si>
  <si>
    <t>AC Tiempo de Perm. en cola</t>
  </si>
  <si>
    <t>Hora Lleg.</t>
  </si>
  <si>
    <t>(min)
 Reloj</t>
  </si>
  <si>
    <t>G</t>
  </si>
  <si>
    <t>E</t>
  </si>
  <si>
    <t>EA</t>
  </si>
  <si>
    <t>-</t>
  </si>
  <si>
    <t>SA(1)</t>
  </si>
  <si>
    <t>ALL</t>
  </si>
  <si>
    <t>CI</t>
  </si>
  <si>
    <t>fin_espera(2) (cli 7)</t>
  </si>
  <si>
    <t>ARE</t>
  </si>
  <si>
    <t>CLIENTE</t>
  </si>
  <si>
    <t>TÉCNICO (N)</t>
  </si>
  <si>
    <t>Tiempo remanente reparación interrumpida</t>
  </si>
  <si>
    <t>llegada_cliente</t>
  </si>
  <si>
    <t>fin_espera(i)</t>
  </si>
  <si>
    <t>llegada_llamada</t>
  </si>
  <si>
    <t>fin_reparación (i)</t>
  </si>
  <si>
    <t>Fin Espera 1</t>
  </si>
  <si>
    <t>Fin Espera 2</t>
  </si>
  <si>
    <t>Fin Espera 3</t>
  </si>
  <si>
    <t>próxima llegada llamada</t>
  </si>
  <si>
    <t>Fin reparación 1</t>
  </si>
  <si>
    <t>Fin reparación 2</t>
  </si>
  <si>
    <t>Tpo. entre
llegadas</t>
  </si>
  <si>
    <t>Cont. Cli. con acceso a Técnico</t>
  </si>
  <si>
    <t>Nro. Evento</t>
  </si>
  <si>
    <t>RNDs a usar en cada evento --&gt;</t>
  </si>
  <si>
    <t>Estos son los eventuales</t>
  </si>
  <si>
    <t>Primero el de arriba</t>
  </si>
  <si>
    <t>luego el segundo etc.</t>
  </si>
  <si>
    <t>SEGÚN DEMANDA de cada evento</t>
  </si>
  <si>
    <t>(usar los que necesite para cada evento)</t>
  </si>
  <si>
    <t>Cola de Clientes Generales</t>
  </si>
  <si>
    <t>Cola de clientes Especia lidad</t>
  </si>
  <si>
    <t>Cont. cli. abandonan cola</t>
  </si>
  <si>
    <t>Cont. cli. que no ingresan</t>
  </si>
  <si>
    <t>--</t>
  </si>
  <si>
    <t>Fin llamada telefonica</t>
  </si>
  <si>
    <t>ARG</t>
  </si>
  <si>
    <t>SA(2)</t>
  </si>
  <si>
    <t>SA 1</t>
  </si>
  <si>
    <t>Fin arreglo 2 cli 10</t>
  </si>
  <si>
    <t>Fin arreglo 1 cli 4</t>
  </si>
  <si>
    <t>Libre</t>
  </si>
  <si>
    <t>Llegada cliente 11</t>
  </si>
  <si>
    <t>p ac</t>
  </si>
  <si>
    <t>General</t>
  </si>
  <si>
    <t>Especializada</t>
  </si>
  <si>
    <t>Ocupado</t>
  </si>
  <si>
    <t>SA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</si>
</sst>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0" xfId="0" applyNumberFormat="1"/>
    <xf numFmtId="2" fontId="2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3" fillId="0" borderId="0" xfId="0" applyNumberFormat="1" applyFont="1"/>
    <xf numFmtId="2" fontId="1" fillId="0" borderId="0" xfId="0" applyNumberFormat="1" applyFont="1"/>
    <xf numFmtId="2" fontId="2" fillId="0" borderId="0" xfId="0" applyNumberFormat="1" applyFont="1"/>
    <xf numFmtId="2" fontId="4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2" fontId="0" fillId="0" borderId="4" xfId="0" applyNumberFormat="1" applyBorder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0" xfId="0" applyFont="1"/>
    <xf numFmtId="0" fontId="2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4" xfId="0" applyNumberFormat="1" applyFont="1" applyBorder="1"/>
    <xf numFmtId="2" fontId="3" fillId="0" borderId="0" xfId="0" applyNumberFormat="1" applyFont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5" fillId="0" borderId="0" xfId="0" applyNumberFormat="1" applyFont="1"/>
    <xf numFmtId="0" fontId="3" fillId="0" borderId="0" xfId="0" quotePrefix="1" applyFont="1" applyAlignment="1">
      <alignment horizontal="center"/>
    </xf>
    <xf numFmtId="0" fontId="3" fillId="7" borderId="0" xfId="0" applyFont="1" applyFill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2" fontId="2" fillId="0" borderId="0" xfId="0" applyNumberFormat="1" applyFont="1" applyAlignment="1">
      <alignment horizontal="center"/>
    </xf>
    <xf numFmtId="2" fontId="2" fillId="6" borderId="0" xfId="0" applyNumberFormat="1" applyFont="1" applyFill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3" borderId="0" xfId="0" applyNumberFormat="1" applyFont="1" applyFill="1" applyAlignment="1">
      <alignment horizontal="center" wrapText="1"/>
    </xf>
    <xf numFmtId="1" fontId="2" fillId="3" borderId="4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C8FB-2BFD-4FE0-A057-8B55C2973309}">
  <sheetPr>
    <pageSetUpPr fitToPage="1"/>
  </sheetPr>
  <dimension ref="A1:BN48"/>
  <sheetViews>
    <sheetView tabSelected="1" topLeftCell="A2" zoomScaleNormal="100" workbookViewId="0">
      <selection activeCell="A26" sqref="A26:XFD26"/>
    </sheetView>
  </sheetViews>
  <sheetFormatPr baseColWidth="10" defaultRowHeight="15" x14ac:dyDescent="0.25"/>
  <cols>
    <col min="1" max="1" width="7.28515625" style="2" customWidth="1"/>
    <col min="2" max="2" width="20.85546875" customWidth="1"/>
    <col min="3" max="3" width="7.42578125" style="16" customWidth="1"/>
    <col min="4" max="4" width="7.85546875" style="4" customWidth="1"/>
    <col min="5" max="5" width="8" style="4" customWidth="1"/>
    <col min="6" max="6" width="9.5703125" style="4" customWidth="1"/>
    <col min="7" max="7" width="7.5703125" style="4" customWidth="1"/>
    <col min="8" max="8" width="8" style="2" bestFit="1" customWidth="1"/>
    <col min="9" max="11" width="7.7109375" style="4" customWidth="1"/>
    <col min="12" max="12" width="7" style="4" customWidth="1"/>
    <col min="13" max="13" width="8.28515625" style="4" customWidth="1"/>
    <col min="14" max="14" width="9.42578125" style="4" customWidth="1"/>
    <col min="15" max="15" width="9.7109375" style="4" customWidth="1"/>
    <col min="16" max="16" width="7.5703125" style="4" customWidth="1"/>
    <col min="17" max="17" width="9.7109375" style="4" customWidth="1"/>
    <col min="18" max="18" width="10.85546875" style="4" customWidth="1"/>
    <col min="19" max="19" width="10.7109375" style="16" customWidth="1"/>
    <col min="20" max="20" width="6.85546875" style="2" bestFit="1" customWidth="1"/>
    <col min="21" max="21" width="9" style="6" customWidth="1"/>
    <col min="22" max="22" width="8.85546875" style="2" bestFit="1" customWidth="1"/>
    <col min="23" max="23" width="9" style="6" customWidth="1"/>
    <col min="24" max="25" width="9.140625" style="2" customWidth="1"/>
    <col min="26" max="26" width="13.28515625" style="18" customWidth="1"/>
    <col min="27" max="27" width="10.7109375" style="2" customWidth="1"/>
    <col min="28" max="28" width="9.140625" style="2" customWidth="1"/>
    <col min="29" max="29" width="9.85546875" style="6" customWidth="1"/>
    <col min="30" max="30" width="9.5703125" style="17" customWidth="1"/>
    <col min="31" max="32" width="6.5703125" style="2" customWidth="1"/>
    <col min="33" max="33" width="6.5703125" style="6" customWidth="1"/>
    <col min="34" max="35" width="6.5703125" style="2" customWidth="1"/>
    <col min="36" max="36" width="6.5703125" style="6" customWidth="1"/>
    <col min="37" max="38" width="6.5703125" style="2" customWidth="1"/>
    <col min="39" max="39" width="6.5703125" style="6" customWidth="1"/>
    <col min="40" max="41" width="6.5703125" style="2" customWidth="1"/>
    <col min="42" max="42" width="6.5703125" style="6" customWidth="1"/>
    <col min="43" max="44" width="6.5703125" style="2" customWidth="1"/>
    <col min="45" max="45" width="6.5703125" style="6" customWidth="1"/>
    <col min="46" max="47" width="6.5703125" style="2" customWidth="1"/>
    <col min="48" max="48" width="6.5703125" style="6" customWidth="1"/>
    <col min="49" max="50" width="6.5703125" style="2" customWidth="1"/>
    <col min="51" max="51" width="6.5703125" style="6" customWidth="1"/>
    <col min="52" max="53" width="6.5703125" style="2" customWidth="1"/>
    <col min="54" max="54" width="6.5703125" style="6" customWidth="1"/>
    <col min="55" max="56" width="6.5703125" style="2" customWidth="1"/>
    <col min="57" max="57" width="6.5703125" style="6" customWidth="1"/>
    <col min="58" max="59" width="6.5703125" style="2" customWidth="1"/>
    <col min="60" max="60" width="6.5703125" style="6" customWidth="1"/>
    <col min="61" max="66" width="6.5703125" style="2" customWidth="1"/>
  </cols>
  <sheetData>
    <row r="1" spans="1:66" x14ac:dyDescent="0.25">
      <c r="C1" s="4"/>
      <c r="S1" s="4"/>
      <c r="Z1" s="6"/>
      <c r="AD1" s="2"/>
    </row>
    <row r="2" spans="1:66" x14ac:dyDescent="0.25">
      <c r="C2" s="4"/>
      <c r="D2" s="9"/>
      <c r="F2" s="9"/>
      <c r="S2" s="4"/>
      <c r="Z2" s="6"/>
      <c r="AD2" s="2"/>
    </row>
    <row r="3" spans="1:66" x14ac:dyDescent="0.25">
      <c r="C3" s="4"/>
      <c r="D3" s="9"/>
      <c r="F3" s="9"/>
      <c r="S3" s="4"/>
      <c r="Z3" s="6"/>
      <c r="AD3" s="2"/>
    </row>
    <row r="4" spans="1:66" ht="15" customHeight="1" x14ac:dyDescent="0.25">
      <c r="C4" s="4"/>
      <c r="S4" s="4"/>
      <c r="Z4" s="6"/>
      <c r="AC4" s="42"/>
      <c r="AD4" s="42"/>
    </row>
    <row r="5" spans="1:66" s="11" customFormat="1" ht="15" customHeight="1" x14ac:dyDescent="0.25">
      <c r="A5" s="12"/>
      <c r="B5" s="43" t="s">
        <v>0</v>
      </c>
      <c r="C5" s="40" t="s">
        <v>11</v>
      </c>
      <c r="D5" s="44" t="s">
        <v>24</v>
      </c>
      <c r="E5" s="44"/>
      <c r="F5" s="44"/>
      <c r="G5" s="44"/>
      <c r="H5" s="44"/>
      <c r="I5" s="45" t="s">
        <v>25</v>
      </c>
      <c r="J5" s="45"/>
      <c r="K5" s="45"/>
      <c r="L5" s="35" t="s">
        <v>26</v>
      </c>
      <c r="M5" s="35"/>
      <c r="N5" s="35"/>
      <c r="O5" s="46" t="s">
        <v>5</v>
      </c>
      <c r="P5" s="45" t="s">
        <v>27</v>
      </c>
      <c r="Q5" s="45"/>
      <c r="R5" s="45"/>
      <c r="S5" s="45"/>
      <c r="T5" s="47" t="s">
        <v>22</v>
      </c>
      <c r="U5" s="47"/>
      <c r="V5" s="47"/>
      <c r="W5" s="47"/>
      <c r="X5" s="39" t="s">
        <v>43</v>
      </c>
      <c r="Y5" s="39" t="s">
        <v>44</v>
      </c>
      <c r="Z5" s="40" t="s">
        <v>23</v>
      </c>
      <c r="AA5" s="39" t="s">
        <v>45</v>
      </c>
      <c r="AB5" s="39" t="s">
        <v>46</v>
      </c>
      <c r="AC5" s="36" t="s">
        <v>9</v>
      </c>
      <c r="AD5" s="41" t="s">
        <v>35</v>
      </c>
      <c r="AE5" s="20" t="s">
        <v>21</v>
      </c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</row>
    <row r="6" spans="1:66" s="1" customFormat="1" ht="16.5" customHeight="1" x14ac:dyDescent="0.25">
      <c r="A6" s="3"/>
      <c r="B6" s="43"/>
      <c r="C6" s="40"/>
      <c r="D6" s="36" t="s">
        <v>1</v>
      </c>
      <c r="E6" s="36" t="s">
        <v>34</v>
      </c>
      <c r="F6" s="46" t="s">
        <v>2</v>
      </c>
      <c r="G6" s="36" t="s">
        <v>3</v>
      </c>
      <c r="H6" s="39" t="s">
        <v>4</v>
      </c>
      <c r="I6" s="37" t="s">
        <v>28</v>
      </c>
      <c r="J6" s="37" t="s">
        <v>29</v>
      </c>
      <c r="K6" s="37" t="s">
        <v>30</v>
      </c>
      <c r="L6" s="36" t="s">
        <v>1</v>
      </c>
      <c r="M6" s="36" t="s">
        <v>34</v>
      </c>
      <c r="N6" s="35" t="s">
        <v>31</v>
      </c>
      <c r="O6" s="46"/>
      <c r="P6" s="36" t="s">
        <v>1</v>
      </c>
      <c r="Q6" s="36" t="s">
        <v>6</v>
      </c>
      <c r="R6" s="37" t="s">
        <v>32</v>
      </c>
      <c r="S6" s="38" t="s">
        <v>33</v>
      </c>
      <c r="T6" s="39">
        <v>1</v>
      </c>
      <c r="U6" s="39"/>
      <c r="V6" s="39">
        <v>2</v>
      </c>
      <c r="W6" s="39"/>
      <c r="X6" s="39"/>
      <c r="Y6" s="39"/>
      <c r="Z6" s="40"/>
      <c r="AA6" s="39"/>
      <c r="AB6" s="39"/>
      <c r="AC6" s="34"/>
      <c r="AD6" s="41"/>
      <c r="AE6" s="31">
        <v>1</v>
      </c>
      <c r="AF6" s="32"/>
      <c r="AG6" s="33"/>
      <c r="AH6" s="31">
        <v>2</v>
      </c>
      <c r="AI6" s="32"/>
      <c r="AJ6" s="33"/>
      <c r="AK6" s="31">
        <v>3</v>
      </c>
      <c r="AL6" s="32"/>
      <c r="AM6" s="33"/>
      <c r="AN6" s="31">
        <v>4</v>
      </c>
      <c r="AO6" s="32"/>
      <c r="AP6" s="33"/>
      <c r="AQ6" s="31">
        <v>5</v>
      </c>
      <c r="AR6" s="32"/>
      <c r="AS6" s="33"/>
      <c r="AT6" s="31">
        <v>6</v>
      </c>
      <c r="AU6" s="32"/>
      <c r="AV6" s="33"/>
      <c r="AW6" s="31">
        <v>7</v>
      </c>
      <c r="AX6" s="32"/>
      <c r="AY6" s="33"/>
      <c r="AZ6" s="31">
        <v>8</v>
      </c>
      <c r="BA6" s="32"/>
      <c r="BB6" s="33"/>
      <c r="BC6" s="31">
        <v>9</v>
      </c>
      <c r="BD6" s="32"/>
      <c r="BE6" s="33"/>
      <c r="BF6" s="31">
        <v>10</v>
      </c>
      <c r="BG6" s="32"/>
      <c r="BH6" s="33"/>
      <c r="BI6" s="31">
        <v>11</v>
      </c>
      <c r="BJ6" s="32"/>
      <c r="BK6" s="33"/>
      <c r="BL6" s="31">
        <v>12</v>
      </c>
      <c r="BM6" s="32"/>
      <c r="BN6" s="33"/>
    </row>
    <row r="7" spans="1:66" s="11" customFormat="1" ht="27" customHeight="1" x14ac:dyDescent="0.25">
      <c r="A7" s="3" t="s">
        <v>36</v>
      </c>
      <c r="B7" s="43"/>
      <c r="C7" s="40"/>
      <c r="D7" s="36"/>
      <c r="E7" s="36"/>
      <c r="F7" s="46"/>
      <c r="G7" s="36"/>
      <c r="H7" s="39"/>
      <c r="I7" s="37"/>
      <c r="J7" s="37"/>
      <c r="K7" s="37"/>
      <c r="L7" s="36"/>
      <c r="M7" s="36"/>
      <c r="N7" s="35"/>
      <c r="O7" s="46"/>
      <c r="P7" s="36"/>
      <c r="Q7" s="36"/>
      <c r="R7" s="37"/>
      <c r="S7" s="38"/>
      <c r="T7" s="3" t="s">
        <v>7</v>
      </c>
      <c r="U7" s="5" t="s">
        <v>8</v>
      </c>
      <c r="V7" s="3" t="s">
        <v>7</v>
      </c>
      <c r="W7" s="5" t="s">
        <v>8</v>
      </c>
      <c r="X7" s="39"/>
      <c r="Y7" s="39"/>
      <c r="Z7" s="40"/>
      <c r="AA7" s="39"/>
      <c r="AB7" s="39"/>
      <c r="AC7" s="34"/>
      <c r="AD7" s="41"/>
      <c r="AE7" s="3" t="s">
        <v>7</v>
      </c>
      <c r="AF7" s="3" t="s">
        <v>4</v>
      </c>
      <c r="AG7" s="5" t="s">
        <v>10</v>
      </c>
      <c r="AH7" s="3" t="s">
        <v>7</v>
      </c>
      <c r="AI7" s="3" t="s">
        <v>4</v>
      </c>
      <c r="AJ7" s="5" t="s">
        <v>10</v>
      </c>
      <c r="AK7" s="3" t="s">
        <v>7</v>
      </c>
      <c r="AL7" s="3" t="s">
        <v>4</v>
      </c>
      <c r="AM7" s="5" t="s">
        <v>10</v>
      </c>
      <c r="AN7" s="3" t="s">
        <v>7</v>
      </c>
      <c r="AO7" s="3" t="s">
        <v>4</v>
      </c>
      <c r="AP7" s="5" t="s">
        <v>10</v>
      </c>
      <c r="AQ7" s="3" t="s">
        <v>7</v>
      </c>
      <c r="AR7" s="3" t="s">
        <v>4</v>
      </c>
      <c r="AS7" s="5" t="s">
        <v>10</v>
      </c>
      <c r="AT7" s="3" t="s">
        <v>7</v>
      </c>
      <c r="AU7" s="3" t="s">
        <v>4</v>
      </c>
      <c r="AV7" s="5" t="s">
        <v>10</v>
      </c>
      <c r="AW7" s="3" t="s">
        <v>7</v>
      </c>
      <c r="AX7" s="3" t="s">
        <v>4</v>
      </c>
      <c r="AY7" s="5" t="s">
        <v>10</v>
      </c>
      <c r="AZ7" s="3" t="s">
        <v>7</v>
      </c>
      <c r="BA7" s="3" t="s">
        <v>4</v>
      </c>
      <c r="BB7" s="5" t="s">
        <v>10</v>
      </c>
      <c r="BC7" s="3" t="s">
        <v>7</v>
      </c>
      <c r="BD7" s="3" t="s">
        <v>4</v>
      </c>
      <c r="BE7" s="5" t="s">
        <v>10</v>
      </c>
      <c r="BF7" s="3" t="s">
        <v>7</v>
      </c>
      <c r="BG7" s="3" t="s">
        <v>4</v>
      </c>
      <c r="BH7" s="5" t="s">
        <v>10</v>
      </c>
      <c r="BI7" s="3" t="s">
        <v>7</v>
      </c>
      <c r="BJ7" s="3" t="s">
        <v>4</v>
      </c>
      <c r="BK7" s="5" t="s">
        <v>10</v>
      </c>
      <c r="BL7" s="3" t="s">
        <v>7</v>
      </c>
      <c r="BM7" s="3" t="s">
        <v>4</v>
      </c>
      <c r="BN7" s="5" t="s">
        <v>10</v>
      </c>
    </row>
    <row r="8" spans="1:66" s="23" customFormat="1" x14ac:dyDescent="0.25">
      <c r="A8" s="22"/>
      <c r="C8" s="24"/>
      <c r="D8" s="7"/>
      <c r="E8" s="7"/>
      <c r="F8" s="7"/>
      <c r="G8" s="7"/>
      <c r="H8" s="22"/>
      <c r="I8" s="7"/>
      <c r="J8" s="7"/>
      <c r="K8" s="7"/>
      <c r="L8" s="7"/>
      <c r="M8" s="7"/>
      <c r="N8" s="7"/>
      <c r="O8" s="7"/>
      <c r="P8" s="7"/>
      <c r="Q8" s="7"/>
      <c r="R8" s="7"/>
      <c r="S8" s="24"/>
      <c r="T8" s="22"/>
      <c r="U8" s="25"/>
      <c r="V8" s="22"/>
      <c r="W8" s="25"/>
      <c r="X8" s="22"/>
      <c r="Y8" s="22"/>
      <c r="Z8" s="26"/>
      <c r="AA8" s="22"/>
      <c r="AB8" s="22"/>
      <c r="AC8" s="25"/>
      <c r="AD8" s="27"/>
      <c r="AE8" s="22"/>
      <c r="AF8" s="22"/>
      <c r="AG8" s="25"/>
      <c r="AH8" s="22"/>
      <c r="AI8" s="22"/>
      <c r="AJ8" s="25"/>
      <c r="AK8" s="22"/>
      <c r="AL8" s="22"/>
      <c r="AM8" s="25"/>
      <c r="AN8" s="22"/>
      <c r="AO8" s="22"/>
      <c r="AP8" s="25"/>
      <c r="AQ8" s="22"/>
      <c r="AR8" s="22"/>
      <c r="AS8" s="25"/>
      <c r="AT8" s="22"/>
      <c r="AU8" s="22"/>
      <c r="AV8" s="25"/>
      <c r="AW8" s="22"/>
      <c r="AX8" s="22"/>
      <c r="AY8" s="25"/>
      <c r="AZ8" s="22"/>
      <c r="BA8" s="22"/>
      <c r="BB8" s="25"/>
      <c r="BC8" s="22"/>
      <c r="BD8" s="22"/>
      <c r="BE8" s="25"/>
      <c r="BF8" s="22"/>
      <c r="BG8" s="22"/>
      <c r="BH8" s="25"/>
      <c r="BI8" s="22"/>
      <c r="BJ8" s="22"/>
      <c r="BK8" s="22"/>
      <c r="BL8" s="22"/>
      <c r="BM8" s="22"/>
      <c r="BN8" s="22"/>
    </row>
    <row r="9" spans="1:66" s="23" customFormat="1" x14ac:dyDescent="0.25">
      <c r="A9" s="22"/>
      <c r="C9" s="24"/>
      <c r="H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</row>
    <row r="10" spans="1:66" s="23" customFormat="1" x14ac:dyDescent="0.25">
      <c r="A10" s="22"/>
      <c r="C10" s="24"/>
      <c r="H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</row>
    <row r="11" spans="1:66" s="23" customFormat="1" x14ac:dyDescent="0.25">
      <c r="A11" s="22"/>
      <c r="C11" s="24"/>
      <c r="H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</row>
    <row r="12" spans="1:66" s="23" customFormat="1" x14ac:dyDescent="0.25">
      <c r="A12" s="22"/>
      <c r="C12" s="24"/>
      <c r="H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</row>
    <row r="13" spans="1:66" s="23" customFormat="1" x14ac:dyDescent="0.25">
      <c r="A13" s="22"/>
      <c r="C13" s="24"/>
      <c r="H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</row>
    <row r="14" spans="1:66" s="23" customFormat="1" x14ac:dyDescent="0.25">
      <c r="A14" s="22"/>
      <c r="C14" s="24"/>
      <c r="H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</row>
    <row r="15" spans="1:66" s="23" customFormat="1" x14ac:dyDescent="0.25">
      <c r="A15" s="22"/>
      <c r="C15" s="24"/>
      <c r="H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</row>
    <row r="16" spans="1:66" s="23" customFormat="1" x14ac:dyDescent="0.25">
      <c r="A16" s="22"/>
      <c r="C16" s="24"/>
      <c r="H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</row>
    <row r="17" spans="1:66" s="23" customFormat="1" x14ac:dyDescent="0.25">
      <c r="A17" s="22"/>
      <c r="C17" s="24"/>
      <c r="H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</row>
    <row r="18" spans="1:66" s="23" customFormat="1" x14ac:dyDescent="0.25">
      <c r="A18" s="22"/>
      <c r="C18" s="24"/>
      <c r="H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</row>
    <row r="19" spans="1:66" s="23" customFormat="1" x14ac:dyDescent="0.25">
      <c r="A19" s="22"/>
      <c r="C19" s="24"/>
      <c r="H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</row>
    <row r="20" spans="1:66" s="23" customFormat="1" x14ac:dyDescent="0.25">
      <c r="A20" s="22"/>
      <c r="C20" s="24"/>
      <c r="H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</row>
    <row r="21" spans="1:66" s="23" customFormat="1" x14ac:dyDescent="0.25">
      <c r="A21" s="22"/>
      <c r="C21" s="24"/>
      <c r="H21" s="22"/>
      <c r="S21" s="28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</row>
    <row r="22" spans="1:66" s="23" customFormat="1" x14ac:dyDescent="0.25">
      <c r="A22" s="22"/>
      <c r="C22" s="24"/>
      <c r="H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</row>
    <row r="23" spans="1:66" s="23" customFormat="1" x14ac:dyDescent="0.25">
      <c r="A23" s="22">
        <v>15</v>
      </c>
      <c r="B23" s="23" t="s">
        <v>19</v>
      </c>
      <c r="C23" s="24">
        <v>27.35</v>
      </c>
      <c r="F23" s="23">
        <v>35.89</v>
      </c>
      <c r="H23" s="22"/>
      <c r="I23" s="23">
        <v>41.26</v>
      </c>
      <c r="J23" s="29" t="s">
        <v>47</v>
      </c>
      <c r="K23" s="29" t="s">
        <v>47</v>
      </c>
      <c r="N23" s="23">
        <v>145.91999999999999</v>
      </c>
      <c r="O23" s="23">
        <v>29.69</v>
      </c>
      <c r="R23" s="23">
        <v>29.99</v>
      </c>
      <c r="S23" s="29" t="s">
        <v>47</v>
      </c>
      <c r="T23" s="22" t="s">
        <v>20</v>
      </c>
      <c r="U23" s="22">
        <v>25.24</v>
      </c>
      <c r="V23" s="22" t="s">
        <v>17</v>
      </c>
      <c r="W23" s="22">
        <v>15.72</v>
      </c>
      <c r="X23" s="22">
        <v>1</v>
      </c>
      <c r="Y23" s="22">
        <v>1</v>
      </c>
      <c r="Z23" s="22">
        <v>1.2</v>
      </c>
      <c r="AA23" s="22">
        <v>1</v>
      </c>
      <c r="AB23" s="22">
        <v>2</v>
      </c>
      <c r="AC23" s="22">
        <v>22.57</v>
      </c>
      <c r="AD23" s="22">
        <v>5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 t="s">
        <v>16</v>
      </c>
      <c r="AO23" s="22" t="s">
        <v>13</v>
      </c>
      <c r="AP23" s="22" t="s">
        <v>15</v>
      </c>
      <c r="AQ23" s="22" t="s">
        <v>18</v>
      </c>
      <c r="AR23" s="22" t="s">
        <v>12</v>
      </c>
      <c r="AS23" s="22" t="s">
        <v>15</v>
      </c>
      <c r="AT23" s="22"/>
      <c r="AU23" s="22"/>
      <c r="AV23" s="22"/>
      <c r="AW23" s="22"/>
      <c r="AX23" s="22"/>
      <c r="AY23" s="22"/>
      <c r="AZ23" s="22"/>
      <c r="BA23" s="22"/>
      <c r="BB23" s="22"/>
      <c r="BC23" s="22" t="s">
        <v>14</v>
      </c>
      <c r="BD23" s="22" t="s">
        <v>13</v>
      </c>
      <c r="BE23" s="22">
        <v>18.100000000000001</v>
      </c>
      <c r="BF23" s="22" t="s">
        <v>14</v>
      </c>
      <c r="BG23" s="22" t="s">
        <v>12</v>
      </c>
      <c r="BH23" s="22">
        <v>26.26</v>
      </c>
      <c r="BI23" s="22"/>
      <c r="BJ23" s="22"/>
      <c r="BK23" s="22"/>
      <c r="BL23" s="22"/>
      <c r="BM23" s="22"/>
      <c r="BN23" s="22"/>
    </row>
    <row r="24" spans="1:66" s="22" customFormat="1" x14ac:dyDescent="0.25">
      <c r="A24" s="22">
        <v>16</v>
      </c>
      <c r="B24" s="23" t="s">
        <v>48</v>
      </c>
      <c r="C24" s="24">
        <v>29.69</v>
      </c>
      <c r="D24" s="23"/>
      <c r="E24" s="23"/>
      <c r="F24" s="23">
        <v>35.89</v>
      </c>
      <c r="G24" s="23"/>
      <c r="I24" s="23">
        <v>41.26</v>
      </c>
      <c r="J24" s="23"/>
      <c r="K24" s="23"/>
      <c r="L24" s="23"/>
      <c r="M24" s="23"/>
      <c r="N24" s="23">
        <v>145.91999999999999</v>
      </c>
      <c r="O24" s="23"/>
      <c r="P24" s="23"/>
      <c r="Q24" s="23"/>
      <c r="R24" s="23">
        <v>29.99</v>
      </c>
      <c r="S24" s="7">
        <f>Z23+C24</f>
        <v>30.89</v>
      </c>
      <c r="T24" s="22" t="s">
        <v>20</v>
      </c>
      <c r="U24" s="25">
        <f>U23+(C24-C23)</f>
        <v>27.58</v>
      </c>
      <c r="V24" s="22" t="s">
        <v>49</v>
      </c>
      <c r="W24" s="22">
        <v>15.72</v>
      </c>
      <c r="X24" s="22">
        <v>0</v>
      </c>
      <c r="Y24" s="22">
        <v>1</v>
      </c>
      <c r="Z24" s="22" t="s">
        <v>15</v>
      </c>
      <c r="AA24" s="22">
        <v>1</v>
      </c>
      <c r="AB24" s="22">
        <v>2</v>
      </c>
      <c r="AC24" s="25">
        <f>AC23+(C24-BH23)</f>
        <v>26</v>
      </c>
      <c r="AD24" s="22">
        <v>5</v>
      </c>
      <c r="AN24" s="22" t="s">
        <v>16</v>
      </c>
      <c r="AO24" s="22" t="s">
        <v>13</v>
      </c>
      <c r="AP24" s="22" t="s">
        <v>15</v>
      </c>
      <c r="AQ24" s="22" t="s">
        <v>18</v>
      </c>
      <c r="AR24" s="22" t="s">
        <v>12</v>
      </c>
      <c r="AS24" s="22" t="s">
        <v>15</v>
      </c>
      <c r="BC24" s="22" t="s">
        <v>14</v>
      </c>
      <c r="BD24" s="22" t="s">
        <v>13</v>
      </c>
      <c r="BE24" s="22">
        <v>18.100000000000001</v>
      </c>
      <c r="BF24" s="22" t="s">
        <v>50</v>
      </c>
      <c r="BG24" s="22" t="s">
        <v>12</v>
      </c>
      <c r="BH24" s="22" t="s">
        <v>15</v>
      </c>
    </row>
    <row r="25" spans="1:66" s="22" customFormat="1" x14ac:dyDescent="0.25">
      <c r="A25" s="22">
        <v>17</v>
      </c>
      <c r="B25" s="23" t="s">
        <v>53</v>
      </c>
      <c r="C25" s="24">
        <v>29.99</v>
      </c>
      <c r="D25" s="23"/>
      <c r="E25" s="23"/>
      <c r="F25" s="23">
        <v>35.89</v>
      </c>
      <c r="G25" s="23"/>
      <c r="I25" s="23">
        <v>41.26</v>
      </c>
      <c r="J25" s="23"/>
      <c r="K25" s="23"/>
      <c r="L25" s="23"/>
      <c r="M25" s="23"/>
      <c r="N25" s="23">
        <v>145.91999999999999</v>
      </c>
      <c r="O25" s="23"/>
      <c r="P25" s="23">
        <v>0.39</v>
      </c>
      <c r="Q25" s="23">
        <f>6+P25*4</f>
        <v>7.5600000000000005</v>
      </c>
      <c r="R25" s="7">
        <f>Q25+C25</f>
        <v>37.549999999999997</v>
      </c>
      <c r="S25" s="23">
        <v>30.89</v>
      </c>
      <c r="T25" s="22" t="s">
        <v>20</v>
      </c>
      <c r="U25" s="25">
        <f>U24+(C25-C24)</f>
        <v>27.879999999999995</v>
      </c>
      <c r="V25" s="22" t="s">
        <v>49</v>
      </c>
      <c r="W25" s="25">
        <f>W24+(C25-C24)</f>
        <v>16.019999999999996</v>
      </c>
      <c r="X25" s="22">
        <v>0</v>
      </c>
      <c r="Y25" s="22">
        <v>0</v>
      </c>
      <c r="Z25" s="22" t="s">
        <v>15</v>
      </c>
      <c r="AA25" s="22">
        <v>1</v>
      </c>
      <c r="AB25" s="22">
        <v>2</v>
      </c>
      <c r="AC25" s="25">
        <f>AC24+(C25-BE24)</f>
        <v>37.89</v>
      </c>
      <c r="AD25" s="22">
        <v>6</v>
      </c>
      <c r="AN25" s="30"/>
      <c r="AO25" s="30"/>
      <c r="AP25" s="30"/>
      <c r="AQ25" s="30"/>
      <c r="AR25" s="30"/>
      <c r="AS25" s="30"/>
      <c r="BC25" s="22" t="s">
        <v>51</v>
      </c>
      <c r="BD25" s="22" t="s">
        <v>13</v>
      </c>
      <c r="BE25" s="22" t="s">
        <v>15</v>
      </c>
      <c r="BF25" s="22" t="s">
        <v>50</v>
      </c>
      <c r="BG25" s="22" t="s">
        <v>12</v>
      </c>
      <c r="BH25" s="22" t="s">
        <v>15</v>
      </c>
    </row>
    <row r="26" spans="1:66" s="22" customFormat="1" x14ac:dyDescent="0.25">
      <c r="A26" s="22">
        <v>18</v>
      </c>
      <c r="B26" s="23" t="s">
        <v>52</v>
      </c>
      <c r="C26" s="24">
        <v>30.89</v>
      </c>
      <c r="D26" s="23"/>
      <c r="E26" s="23"/>
      <c r="F26" s="23">
        <v>35.89</v>
      </c>
      <c r="G26" s="23"/>
      <c r="I26" s="23">
        <v>41.26</v>
      </c>
      <c r="J26" s="23"/>
      <c r="K26" s="23"/>
      <c r="L26" s="23"/>
      <c r="M26" s="23"/>
      <c r="N26" s="23">
        <v>145.91999999999999</v>
      </c>
      <c r="O26" s="23"/>
      <c r="P26" s="23"/>
      <c r="Q26" s="23"/>
      <c r="R26" s="23">
        <v>37.549999999999997</v>
      </c>
      <c r="S26" s="23" t="s">
        <v>15</v>
      </c>
      <c r="T26" s="22" t="s">
        <v>20</v>
      </c>
      <c r="U26" s="25">
        <f>U25+(C26-C25)</f>
        <v>28.779999999999998</v>
      </c>
      <c r="V26" s="22" t="s">
        <v>54</v>
      </c>
      <c r="W26" s="25">
        <f>W25+(C26-C25)</f>
        <v>16.919999999999998</v>
      </c>
      <c r="X26" s="22">
        <v>0</v>
      </c>
      <c r="Y26" s="22">
        <v>0</v>
      </c>
      <c r="Z26" s="22" t="s">
        <v>15</v>
      </c>
      <c r="AA26" s="22">
        <v>1</v>
      </c>
      <c r="AB26" s="22">
        <v>2</v>
      </c>
      <c r="AC26" s="22">
        <v>37.89</v>
      </c>
      <c r="AD26" s="22">
        <v>6</v>
      </c>
      <c r="BC26" s="22" t="s">
        <v>51</v>
      </c>
      <c r="BD26" s="22" t="s">
        <v>13</v>
      </c>
      <c r="BE26" s="22" t="s">
        <v>15</v>
      </c>
      <c r="BF26" s="30"/>
      <c r="BG26" s="30"/>
      <c r="BH26" s="30"/>
    </row>
    <row r="27" spans="1:66" s="2" customFormat="1" x14ac:dyDescent="0.25">
      <c r="A27" s="2">
        <v>19</v>
      </c>
      <c r="B27" s="2" t="s">
        <v>55</v>
      </c>
      <c r="C27" s="2">
        <v>35.89</v>
      </c>
      <c r="D27" s="2">
        <v>0.55000000000000004</v>
      </c>
      <c r="E27" s="2">
        <f>TRUNC(-4*LN(1-D27),2)</f>
        <v>3.19</v>
      </c>
      <c r="F27" s="2">
        <f>E27+C27</f>
        <v>39.08</v>
      </c>
      <c r="G27" s="2">
        <v>7.0000000000000007E-2</v>
      </c>
      <c r="H27" s="2" t="s">
        <v>57</v>
      </c>
      <c r="I27" s="2">
        <v>41.26</v>
      </c>
      <c r="N27" s="2">
        <v>145.91999999999999</v>
      </c>
      <c r="P27" s="2">
        <v>0.56000000000000005</v>
      </c>
      <c r="Q27" s="23">
        <f>6+P27*4</f>
        <v>8.24</v>
      </c>
      <c r="R27" s="23">
        <v>37.549999999999997</v>
      </c>
      <c r="S27" s="23">
        <f>Q27+C27</f>
        <v>44.13</v>
      </c>
      <c r="T27" s="2" t="s">
        <v>20</v>
      </c>
      <c r="U27" s="50">
        <f>U26+(C27-C26)</f>
        <v>33.78</v>
      </c>
      <c r="V27" s="2" t="s">
        <v>59</v>
      </c>
      <c r="W27" s="2">
        <v>16.920000000000002</v>
      </c>
      <c r="X27" s="2">
        <v>0</v>
      </c>
      <c r="Y27" s="2">
        <v>0</v>
      </c>
      <c r="Z27" s="2" t="s">
        <v>15</v>
      </c>
      <c r="AA27" s="2">
        <v>1</v>
      </c>
      <c r="AB27" s="2">
        <v>2</v>
      </c>
      <c r="AC27" s="2">
        <v>37.89</v>
      </c>
      <c r="AD27" s="2">
        <v>7</v>
      </c>
      <c r="BC27" s="49" t="s">
        <v>51</v>
      </c>
      <c r="BD27" s="49" t="s">
        <v>13</v>
      </c>
      <c r="BE27" s="49" t="s">
        <v>15</v>
      </c>
      <c r="BI27" s="2" t="s">
        <v>60</v>
      </c>
      <c r="BJ27" s="2" t="s">
        <v>12</v>
      </c>
      <c r="BK27" s="2" t="s">
        <v>15</v>
      </c>
    </row>
    <row r="28" spans="1:66" s="2" customFormat="1" x14ac:dyDescent="0.25">
      <c r="R28"/>
      <c r="S28"/>
      <c r="U28" s="6"/>
      <c r="W28" s="6"/>
      <c r="Z28" s="18"/>
      <c r="AC28" s="6"/>
      <c r="AD28" s="17"/>
      <c r="AG28" s="6"/>
      <c r="AJ28" s="6"/>
      <c r="AM28" s="6"/>
      <c r="AP28" s="6"/>
      <c r="AS28" s="6"/>
      <c r="AV28" s="6"/>
      <c r="AY28" s="6"/>
      <c r="BB28" s="6"/>
      <c r="BE28" s="6"/>
      <c r="BH28" s="6"/>
    </row>
    <row r="29" spans="1:66" x14ac:dyDescent="0.25">
      <c r="R29" s="19"/>
      <c r="S29"/>
    </row>
    <row r="30" spans="1:66" s="2" customFormat="1" x14ac:dyDescent="0.25">
      <c r="R30"/>
      <c r="S30"/>
      <c r="U30" s="13"/>
      <c r="W30" s="13"/>
      <c r="Z30" s="18"/>
      <c r="AC30" s="34"/>
      <c r="AD30" s="34"/>
      <c r="AG30" s="6"/>
      <c r="AJ30" s="6"/>
      <c r="AM30" s="6"/>
      <c r="AP30" s="6"/>
      <c r="AS30" s="6"/>
      <c r="AV30" s="6"/>
      <c r="AY30" s="6"/>
      <c r="BB30" s="6"/>
      <c r="BE30" s="6"/>
      <c r="BH30" s="6"/>
    </row>
    <row r="31" spans="1:66" x14ac:dyDescent="0.25">
      <c r="R31"/>
      <c r="S31" s="10"/>
    </row>
    <row r="32" spans="1:66" x14ac:dyDescent="0.25">
      <c r="R32"/>
      <c r="S32"/>
    </row>
    <row r="38" spans="1:17" x14ac:dyDescent="0.25">
      <c r="A38" s="14" t="s">
        <v>38</v>
      </c>
      <c r="F38" s="8"/>
      <c r="M38" s="7"/>
      <c r="Q38"/>
    </row>
    <row r="39" spans="1:17" x14ac:dyDescent="0.25">
      <c r="A39" s="14" t="s">
        <v>37</v>
      </c>
      <c r="D39">
        <v>0.55000000000000004</v>
      </c>
      <c r="G39">
        <v>7.0000000000000007E-2</v>
      </c>
      <c r="L39" s="4">
        <v>0.57999999999999996</v>
      </c>
      <c r="M39" s="7"/>
      <c r="P39">
        <v>0.39</v>
      </c>
      <c r="Q39"/>
    </row>
    <row r="40" spans="1:17" x14ac:dyDescent="0.25">
      <c r="A40" s="14" t="s">
        <v>39</v>
      </c>
      <c r="D40">
        <v>0.03</v>
      </c>
      <c r="G40">
        <v>0.15</v>
      </c>
      <c r="L40" s="4">
        <v>0.61</v>
      </c>
      <c r="M40" s="7"/>
      <c r="P40">
        <v>0.56000000000000005</v>
      </c>
      <c r="Q40"/>
    </row>
    <row r="41" spans="1:17" x14ac:dyDescent="0.25">
      <c r="A41" s="14" t="s">
        <v>40</v>
      </c>
      <c r="D41">
        <v>0.94</v>
      </c>
      <c r="G41">
        <v>0.65</v>
      </c>
      <c r="L41" s="21">
        <v>0.09</v>
      </c>
      <c r="M41" s="7"/>
      <c r="P41" s="21">
        <v>0.48</v>
      </c>
      <c r="Q41"/>
    </row>
    <row r="42" spans="1:17" x14ac:dyDescent="0.25">
      <c r="A42" s="15" t="s">
        <v>41</v>
      </c>
      <c r="M42" s="7"/>
      <c r="P42"/>
      <c r="Q42"/>
    </row>
    <row r="43" spans="1:17" x14ac:dyDescent="0.25">
      <c r="D43"/>
      <c r="F43" s="8" t="s">
        <v>42</v>
      </c>
      <c r="G43"/>
      <c r="I43" s="10"/>
      <c r="M43" s="7"/>
      <c r="P43"/>
      <c r="Q43"/>
    </row>
    <row r="46" spans="1:17" x14ac:dyDescent="0.25">
      <c r="D46" s="48" t="s">
        <v>4</v>
      </c>
      <c r="E46" s="48"/>
      <c r="F46" s="48" t="s">
        <v>56</v>
      </c>
    </row>
    <row r="47" spans="1:17" x14ac:dyDescent="0.25">
      <c r="D47" s="48" t="s">
        <v>57</v>
      </c>
      <c r="E47" s="51">
        <v>0.5</v>
      </c>
      <c r="F47" s="48">
        <v>0.5</v>
      </c>
    </row>
    <row r="48" spans="1:17" x14ac:dyDescent="0.25">
      <c r="D48" s="48" t="s">
        <v>58</v>
      </c>
      <c r="E48" s="48">
        <v>0.5</v>
      </c>
      <c r="F48" s="48">
        <v>1</v>
      </c>
    </row>
  </sheetData>
  <mergeCells count="46">
    <mergeCell ref="AC4:AD4"/>
    <mergeCell ref="B5:B7"/>
    <mergeCell ref="C5:C7"/>
    <mergeCell ref="D5:H5"/>
    <mergeCell ref="I5:K5"/>
    <mergeCell ref="L5:N5"/>
    <mergeCell ref="O5:O7"/>
    <mergeCell ref="P5:S5"/>
    <mergeCell ref="T5:W5"/>
    <mergeCell ref="X5:X7"/>
    <mergeCell ref="P6:P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AT6:AV6"/>
    <mergeCell ref="AW6:AY6"/>
    <mergeCell ref="Q6:Q7"/>
    <mergeCell ref="R6:R7"/>
    <mergeCell ref="S6:S7"/>
    <mergeCell ref="T6:U6"/>
    <mergeCell ref="V6:W6"/>
    <mergeCell ref="AE6:AG6"/>
    <mergeCell ref="Y5:Y7"/>
    <mergeCell ref="Z5:Z7"/>
    <mergeCell ref="AA5:AA7"/>
    <mergeCell ref="AB5:AB7"/>
    <mergeCell ref="AC5:AC7"/>
    <mergeCell ref="AD5:AD7"/>
    <mergeCell ref="AC30:AD30"/>
    <mergeCell ref="AH6:AJ6"/>
    <mergeCell ref="AK6:AM6"/>
    <mergeCell ref="AN6:AP6"/>
    <mergeCell ref="AQ6:AS6"/>
    <mergeCell ref="AZ6:BB6"/>
    <mergeCell ref="BC6:BE6"/>
    <mergeCell ref="BF6:BH6"/>
    <mergeCell ref="BI6:BK6"/>
    <mergeCell ref="BL6:BN6"/>
  </mergeCells>
  <printOptions gridLines="1"/>
  <pageMargins left="3.937007874015748E-2" right="3.937007874015748E-2" top="0.74803149606299213" bottom="0.74803149606299213" header="0.31496062992125984" footer="0.31496062992125984"/>
  <pageSetup paperSize="9" scale="85" fitToWidth="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15 filas</vt:lpstr>
      <vt:lpstr>'15 filas'!Área_de_impresión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Carena</dc:creator>
  <cp:lastModifiedBy>alumno</cp:lastModifiedBy>
  <cp:lastPrinted>2025-06-11T15:14:17Z</cp:lastPrinted>
  <dcterms:created xsi:type="dcterms:W3CDTF">2025-06-05T01:01:34Z</dcterms:created>
  <dcterms:modified xsi:type="dcterms:W3CDTF">2025-06-21T15:00:02Z</dcterms:modified>
</cp:coreProperties>
</file>