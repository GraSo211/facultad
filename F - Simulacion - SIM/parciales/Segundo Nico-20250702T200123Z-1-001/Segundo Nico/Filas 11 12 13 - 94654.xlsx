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13_ncr:1_{400D874C-0424-4973-836A-4AE25F0B3652}" xr6:coauthVersionLast="47" xr6:coauthVersionMax="47" xr10:uidLastSave="{00000000-0000-0000-0000-000000000000}"/>
  <bookViews>
    <workbookView xWindow="225" yWindow="990" windowWidth="28800" windowHeight="14985" tabRatio="307" xr2:uid="{00000000-000D-0000-FFFF-FFFF00000000}"/>
  </bookViews>
  <sheets>
    <sheet name="10 filas" sheetId="8" r:id="rId1"/>
  </sheets>
  <definedNames>
    <definedName name="_xlnm.Print_Area" localSheetId="0">'10 filas'!$A$5:$AP$30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8" l="1"/>
  <c r="Z21" i="8"/>
  <c r="W21" i="8"/>
  <c r="U21" i="8"/>
  <c r="M21" i="8"/>
  <c r="AC20" i="8"/>
  <c r="W20" i="8"/>
  <c r="U20" i="8"/>
  <c r="R20" i="8"/>
  <c r="Q20" i="8"/>
  <c r="W19" i="8"/>
  <c r="U19" i="8"/>
  <c r="K19" i="8"/>
  <c r="H19" i="8"/>
  <c r="F19" i="8"/>
  <c r="E19" i="8"/>
</calcChain>
</file>

<file path=xl/sharedStrings.xml><?xml version="1.0" encoding="utf-8"?>
<sst xmlns="http://schemas.openxmlformats.org/spreadsheetml/2006/main" count="147" uniqueCount="58">
  <si>
    <t>Evento</t>
  </si>
  <si>
    <t>RND</t>
  </si>
  <si>
    <t>próxima llegada</t>
  </si>
  <si>
    <t>RND Tipo</t>
  </si>
  <si>
    <t>Tipo</t>
  </si>
  <si>
    <t>fin ayuda telefónica</t>
  </si>
  <si>
    <t>tiempo atención</t>
  </si>
  <si>
    <t>Estado</t>
  </si>
  <si>
    <t>AC Ocupado</t>
  </si>
  <si>
    <t>AC Tiempo de Perm. en cola</t>
  </si>
  <si>
    <t>Hora Lleg.</t>
  </si>
  <si>
    <t>(min)
 Reloj</t>
  </si>
  <si>
    <t>G</t>
  </si>
  <si>
    <t>E</t>
  </si>
  <si>
    <t>EA</t>
  </si>
  <si>
    <t>-</t>
  </si>
  <si>
    <t>SA(1)</t>
  </si>
  <si>
    <t>SA(2)</t>
  </si>
  <si>
    <t>fin_reparación(2) (cli 3)</t>
  </si>
  <si>
    <t>ARG</t>
  </si>
  <si>
    <t>ARE</t>
  </si>
  <si>
    <t>CLIENTE</t>
  </si>
  <si>
    <t>TÉCNICO (N)</t>
  </si>
  <si>
    <t>Tiempo remanente reparación interrumpida</t>
  </si>
  <si>
    <t>llegada_cliente</t>
  </si>
  <si>
    <t>fin_espera(i)</t>
  </si>
  <si>
    <t>llegada_llamada</t>
  </si>
  <si>
    <t>fin_reparación (i)</t>
  </si>
  <si>
    <t>Fin Espera 1</t>
  </si>
  <si>
    <t>Fin Espera 2</t>
  </si>
  <si>
    <t>Fin Espera 3</t>
  </si>
  <si>
    <t>próxima llegada llamada</t>
  </si>
  <si>
    <t>Fin reparación 1</t>
  </si>
  <si>
    <t>Fin reparación 2</t>
  </si>
  <si>
    <t>Tpo. entre
llegadas</t>
  </si>
  <si>
    <t>Cont. Cli. con acceso a Técnico</t>
  </si>
  <si>
    <t>Nro. Evento</t>
  </si>
  <si>
    <t>RNDs a usar en cada evento --&gt;</t>
  </si>
  <si>
    <t>Estos son los eventuales</t>
  </si>
  <si>
    <t>Primero el de arriba</t>
  </si>
  <si>
    <t>luego el segundo etc.</t>
  </si>
  <si>
    <t>SEGÚN DEMANDA de cada evento</t>
  </si>
  <si>
    <t>(usar los que necesite para cada evento)</t>
  </si>
  <si>
    <t>Cola de Clientes Generales</t>
  </si>
  <si>
    <t>Cola de clientes Especia lidad</t>
  </si>
  <si>
    <t>Cont. cli. abandonan cola</t>
  </si>
  <si>
    <t>Cont. cli. que no ingresan</t>
  </si>
  <si>
    <t>OCULTO</t>
  </si>
  <si>
    <t>--</t>
  </si>
  <si>
    <t>Llegada cliente 8</t>
  </si>
  <si>
    <t>p ac</t>
  </si>
  <si>
    <t>General</t>
  </si>
  <si>
    <t>Especializada</t>
  </si>
  <si>
    <t>Fin reparacion 1 cli 2</t>
  </si>
  <si>
    <t xml:space="preserve">Llegada llamada telef </t>
  </si>
  <si>
    <t>AL</t>
  </si>
  <si>
    <t>Susp</t>
  </si>
  <si>
    <t>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</si>
</sst>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0" xfId="0" applyNumberFormat="1"/>
    <xf numFmtId="2" fontId="2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3" fillId="0" borderId="0" xfId="0" applyNumberFormat="1" applyFont="1"/>
    <xf numFmtId="2" fontId="1" fillId="0" borderId="0" xfId="0" applyNumberFormat="1" applyFont="1"/>
    <xf numFmtId="2" fontId="2" fillId="0" borderId="0" xfId="0" applyNumberFormat="1" applyFont="1"/>
    <xf numFmtId="2" fontId="4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2" fontId="0" fillId="0" borderId="4" xfId="0" applyNumberFormat="1" applyBorder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0" xfId="0" applyFont="1"/>
    <xf numFmtId="0" fontId="2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4" xfId="0" applyNumberFormat="1" applyFont="1" applyBorder="1"/>
    <xf numFmtId="2" fontId="3" fillId="0" borderId="0" xfId="0" applyNumberFormat="1" applyFont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2" fontId="5" fillId="0" borderId="0" xfId="0" applyNumberFormat="1" applyFont="1"/>
    <xf numFmtId="0" fontId="3" fillId="0" borderId="0" xfId="0" quotePrefix="1" applyFont="1" applyAlignment="1">
      <alignment horizontal="center"/>
    </xf>
    <xf numFmtId="2" fontId="0" fillId="0" borderId="0" xfId="0" applyNumberFormat="1"/>
    <xf numFmtId="0" fontId="3" fillId="0" borderId="0" xfId="0" applyFont="1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0" borderId="0" xfId="0" applyFont="1"/>
    <xf numFmtId="0" fontId="3" fillId="7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 wrapText="1"/>
    </xf>
    <xf numFmtId="2" fontId="2" fillId="0" borderId="4" xfId="0" applyNumberFormat="1" applyFont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2" fontId="2" fillId="6" borderId="0" xfId="0" applyNumberFormat="1" applyFont="1" applyFill="1" applyAlignment="1">
      <alignment horizontal="center" wrapText="1"/>
    </xf>
    <xf numFmtId="2" fontId="2" fillId="2" borderId="0" xfId="0" applyNumberFormat="1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3" borderId="0" xfId="0" applyNumberFormat="1" applyFont="1" applyFill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" fontId="2" fillId="3" borderId="4" xfId="0" applyNumberFormat="1" applyFont="1" applyFill="1" applyBorder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4036-EFB7-4CA3-B766-53E6FAF7E602}">
  <sheetPr>
    <pageSetUpPr fitToPage="1"/>
  </sheetPr>
  <dimension ref="A1:BN39"/>
  <sheetViews>
    <sheetView tabSelected="1" topLeftCell="N4" zoomScaleNormal="100" workbookViewId="0">
      <selection activeCell="N21" sqref="N21"/>
    </sheetView>
  </sheetViews>
  <sheetFormatPr baseColWidth="10" defaultRowHeight="15" x14ac:dyDescent="0.25"/>
  <cols>
    <col min="1" max="1" width="7.28515625" style="2" customWidth="1"/>
    <col min="2" max="2" width="20.85546875" customWidth="1"/>
    <col min="3" max="3" width="7.42578125" style="16" customWidth="1"/>
    <col min="4" max="4" width="7.85546875" style="4" customWidth="1"/>
    <col min="5" max="5" width="8" style="4" customWidth="1"/>
    <col min="6" max="6" width="9.5703125" style="4" customWidth="1"/>
    <col min="7" max="7" width="7.5703125" style="4" customWidth="1"/>
    <col min="8" max="8" width="12.7109375" style="2" bestFit="1" customWidth="1"/>
    <col min="9" max="11" width="7.7109375" style="4" customWidth="1"/>
    <col min="12" max="12" width="7" style="4" customWidth="1"/>
    <col min="13" max="13" width="8.28515625" style="4" customWidth="1"/>
    <col min="14" max="14" width="9.42578125" style="4" customWidth="1"/>
    <col min="15" max="15" width="9.7109375" style="4" customWidth="1"/>
    <col min="16" max="16" width="7.5703125" style="4" customWidth="1"/>
    <col min="17" max="17" width="9.7109375" style="4" customWidth="1"/>
    <col min="18" max="18" width="10.85546875" style="4" customWidth="1"/>
    <col min="19" max="19" width="10.7109375" style="16" customWidth="1"/>
    <col min="20" max="20" width="6.85546875" style="2" bestFit="1" customWidth="1"/>
    <col min="21" max="21" width="9" style="6" customWidth="1"/>
    <col min="22" max="22" width="6.85546875" style="2" bestFit="1" customWidth="1"/>
    <col min="23" max="23" width="9" style="6" customWidth="1"/>
    <col min="24" max="25" width="9.140625" style="2" customWidth="1"/>
    <col min="26" max="26" width="13.28515625" style="18" customWidth="1"/>
    <col min="27" max="27" width="10.7109375" style="2" customWidth="1"/>
    <col min="28" max="28" width="9.140625" style="2" customWidth="1"/>
    <col min="29" max="29" width="9.85546875" style="6" customWidth="1"/>
    <col min="30" max="30" width="9.5703125" style="17" customWidth="1"/>
    <col min="31" max="32" width="6.5703125" style="2" customWidth="1"/>
    <col min="33" max="33" width="6.5703125" style="6" customWidth="1"/>
    <col min="34" max="35" width="6.5703125" style="2" customWidth="1"/>
    <col min="36" max="36" width="6.5703125" style="6" customWidth="1"/>
    <col min="37" max="38" width="6.5703125" style="2" customWidth="1"/>
    <col min="39" max="39" width="6.5703125" style="6" customWidth="1"/>
    <col min="40" max="41" width="6.5703125" style="2" customWidth="1"/>
    <col min="42" max="42" width="6.5703125" style="6" customWidth="1"/>
    <col min="43" max="44" width="6.5703125" style="2" customWidth="1"/>
    <col min="45" max="45" width="6.5703125" style="6" customWidth="1"/>
    <col min="46" max="47" width="6.5703125" style="2" customWidth="1"/>
    <col min="48" max="48" width="6.5703125" style="6" customWidth="1"/>
    <col min="49" max="50" width="6.5703125" style="2" customWidth="1"/>
    <col min="51" max="51" width="6.5703125" style="6" customWidth="1"/>
    <col min="52" max="53" width="6.5703125" style="2" customWidth="1"/>
    <col min="54" max="54" width="6.5703125" style="6" customWidth="1"/>
    <col min="55" max="56" width="6.5703125" style="2" customWidth="1"/>
    <col min="57" max="57" width="6.5703125" style="6" customWidth="1"/>
    <col min="58" max="59" width="6.5703125" style="2" customWidth="1"/>
    <col min="60" max="60" width="6.5703125" style="6" customWidth="1"/>
    <col min="61" max="66" width="6.5703125" style="2" customWidth="1"/>
  </cols>
  <sheetData>
    <row r="1" spans="1:66" x14ac:dyDescent="0.25">
      <c r="C1" s="4"/>
      <c r="S1" s="4"/>
      <c r="Z1" s="6"/>
      <c r="AD1" s="2"/>
    </row>
    <row r="2" spans="1:66" x14ac:dyDescent="0.25">
      <c r="C2" s="4"/>
      <c r="D2" s="9"/>
      <c r="F2" s="9"/>
      <c r="S2" s="4"/>
      <c r="Z2" s="6"/>
      <c r="AD2" s="2"/>
    </row>
    <row r="3" spans="1:66" x14ac:dyDescent="0.25">
      <c r="C3" s="4"/>
      <c r="D3" s="9"/>
      <c r="F3" s="9"/>
      <c r="S3" s="4"/>
      <c r="Z3" s="6"/>
      <c r="AD3" s="2"/>
    </row>
    <row r="4" spans="1:66" ht="15" customHeight="1" x14ac:dyDescent="0.25">
      <c r="C4" s="4"/>
      <c r="S4" s="4"/>
      <c r="Z4" s="6"/>
      <c r="AC4" s="39"/>
      <c r="AD4" s="39"/>
    </row>
    <row r="5" spans="1:66" s="11" customFormat="1" ht="15" customHeight="1" x14ac:dyDescent="0.25">
      <c r="A5" s="12"/>
      <c r="B5" s="40" t="s">
        <v>0</v>
      </c>
      <c r="C5" s="41" t="s">
        <v>11</v>
      </c>
      <c r="D5" s="42" t="s">
        <v>24</v>
      </c>
      <c r="E5" s="42"/>
      <c r="F5" s="42"/>
      <c r="G5" s="42"/>
      <c r="H5" s="42"/>
      <c r="I5" s="43" t="s">
        <v>25</v>
      </c>
      <c r="J5" s="43"/>
      <c r="K5" s="43"/>
      <c r="L5" s="44" t="s">
        <v>26</v>
      </c>
      <c r="M5" s="44"/>
      <c r="N5" s="44"/>
      <c r="O5" s="45" t="s">
        <v>5</v>
      </c>
      <c r="P5" s="43" t="s">
        <v>27</v>
      </c>
      <c r="Q5" s="43"/>
      <c r="R5" s="43"/>
      <c r="S5" s="43"/>
      <c r="T5" s="46" t="s">
        <v>22</v>
      </c>
      <c r="U5" s="46"/>
      <c r="V5" s="46"/>
      <c r="W5" s="46"/>
      <c r="X5" s="47" t="s">
        <v>43</v>
      </c>
      <c r="Y5" s="47" t="s">
        <v>44</v>
      </c>
      <c r="Z5" s="41" t="s">
        <v>23</v>
      </c>
      <c r="AA5" s="47" t="s">
        <v>45</v>
      </c>
      <c r="AB5" s="47" t="s">
        <v>46</v>
      </c>
      <c r="AC5" s="48" t="s">
        <v>9</v>
      </c>
      <c r="AD5" s="55" t="s">
        <v>35</v>
      </c>
      <c r="AE5" s="20" t="s">
        <v>21</v>
      </c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</row>
    <row r="6" spans="1:66" s="1" customFormat="1" ht="16.5" customHeight="1" x14ac:dyDescent="0.25">
      <c r="A6" s="3"/>
      <c r="B6" s="40"/>
      <c r="C6" s="41"/>
      <c r="D6" s="48" t="s">
        <v>1</v>
      </c>
      <c r="E6" s="48" t="s">
        <v>34</v>
      </c>
      <c r="F6" s="45" t="s">
        <v>2</v>
      </c>
      <c r="G6" s="48" t="s">
        <v>3</v>
      </c>
      <c r="H6" s="47" t="s">
        <v>4</v>
      </c>
      <c r="I6" s="49" t="s">
        <v>28</v>
      </c>
      <c r="J6" s="49" t="s">
        <v>29</v>
      </c>
      <c r="K6" s="49" t="s">
        <v>30</v>
      </c>
      <c r="L6" s="48" t="s">
        <v>1</v>
      </c>
      <c r="M6" s="48" t="s">
        <v>34</v>
      </c>
      <c r="N6" s="44" t="s">
        <v>31</v>
      </c>
      <c r="O6" s="45"/>
      <c r="P6" s="48" t="s">
        <v>1</v>
      </c>
      <c r="Q6" s="48" t="s">
        <v>6</v>
      </c>
      <c r="R6" s="49" t="s">
        <v>32</v>
      </c>
      <c r="S6" s="53" t="s">
        <v>33</v>
      </c>
      <c r="T6" s="47">
        <v>1</v>
      </c>
      <c r="U6" s="47"/>
      <c r="V6" s="47">
        <v>2</v>
      </c>
      <c r="W6" s="47"/>
      <c r="X6" s="47"/>
      <c r="Y6" s="47"/>
      <c r="Z6" s="41"/>
      <c r="AA6" s="47"/>
      <c r="AB6" s="47"/>
      <c r="AC6" s="54"/>
      <c r="AD6" s="55"/>
      <c r="AE6" s="50">
        <v>1</v>
      </c>
      <c r="AF6" s="51"/>
      <c r="AG6" s="52"/>
      <c r="AH6" s="50">
        <v>2</v>
      </c>
      <c r="AI6" s="51"/>
      <c r="AJ6" s="52"/>
      <c r="AK6" s="50">
        <v>3</v>
      </c>
      <c r="AL6" s="51"/>
      <c r="AM6" s="52"/>
      <c r="AN6" s="50">
        <v>4</v>
      </c>
      <c r="AO6" s="51"/>
      <c r="AP6" s="52"/>
      <c r="AQ6" s="50">
        <v>5</v>
      </c>
      <c r="AR6" s="51"/>
      <c r="AS6" s="52"/>
      <c r="AT6" s="50">
        <v>6</v>
      </c>
      <c r="AU6" s="51"/>
      <c r="AV6" s="52"/>
      <c r="AW6" s="50">
        <v>7</v>
      </c>
      <c r="AX6" s="51"/>
      <c r="AY6" s="52"/>
      <c r="AZ6" s="50">
        <v>8</v>
      </c>
      <c r="BA6" s="51"/>
      <c r="BB6" s="52"/>
      <c r="BC6" s="50">
        <v>9</v>
      </c>
      <c r="BD6" s="51"/>
      <c r="BE6" s="52"/>
      <c r="BF6" s="50">
        <v>10</v>
      </c>
      <c r="BG6" s="51"/>
      <c r="BH6" s="52"/>
      <c r="BI6" s="50">
        <v>11</v>
      </c>
      <c r="BJ6" s="51"/>
      <c r="BK6" s="52"/>
      <c r="BL6" s="50">
        <v>12</v>
      </c>
      <c r="BM6" s="51"/>
      <c r="BN6" s="52"/>
    </row>
    <row r="7" spans="1:66" s="11" customFormat="1" ht="27" customHeight="1" x14ac:dyDescent="0.25">
      <c r="A7" s="3" t="s">
        <v>36</v>
      </c>
      <c r="B7" s="40"/>
      <c r="C7" s="41"/>
      <c r="D7" s="48"/>
      <c r="E7" s="48"/>
      <c r="F7" s="45"/>
      <c r="G7" s="48"/>
      <c r="H7" s="47"/>
      <c r="I7" s="49"/>
      <c r="J7" s="49"/>
      <c r="K7" s="49"/>
      <c r="L7" s="48"/>
      <c r="M7" s="48"/>
      <c r="N7" s="44"/>
      <c r="O7" s="45"/>
      <c r="P7" s="48"/>
      <c r="Q7" s="48"/>
      <c r="R7" s="49"/>
      <c r="S7" s="53"/>
      <c r="T7" s="3" t="s">
        <v>7</v>
      </c>
      <c r="U7" s="5" t="s">
        <v>8</v>
      </c>
      <c r="V7" s="3" t="s">
        <v>7</v>
      </c>
      <c r="W7" s="5" t="s">
        <v>8</v>
      </c>
      <c r="X7" s="47"/>
      <c r="Y7" s="47"/>
      <c r="Z7" s="41"/>
      <c r="AA7" s="47"/>
      <c r="AB7" s="47"/>
      <c r="AC7" s="54"/>
      <c r="AD7" s="55"/>
      <c r="AE7" s="3" t="s">
        <v>7</v>
      </c>
      <c r="AF7" s="3" t="s">
        <v>4</v>
      </c>
      <c r="AG7" s="5" t="s">
        <v>10</v>
      </c>
      <c r="AH7" s="3" t="s">
        <v>7</v>
      </c>
      <c r="AI7" s="3" t="s">
        <v>4</v>
      </c>
      <c r="AJ7" s="5" t="s">
        <v>10</v>
      </c>
      <c r="AK7" s="3" t="s">
        <v>7</v>
      </c>
      <c r="AL7" s="3" t="s">
        <v>4</v>
      </c>
      <c r="AM7" s="5" t="s">
        <v>10</v>
      </c>
      <c r="AN7" s="3" t="s">
        <v>7</v>
      </c>
      <c r="AO7" s="3" t="s">
        <v>4</v>
      </c>
      <c r="AP7" s="5" t="s">
        <v>10</v>
      </c>
      <c r="AQ7" s="3" t="s">
        <v>7</v>
      </c>
      <c r="AR7" s="3" t="s">
        <v>4</v>
      </c>
      <c r="AS7" s="5" t="s">
        <v>10</v>
      </c>
      <c r="AT7" s="3" t="s">
        <v>7</v>
      </c>
      <c r="AU7" s="3" t="s">
        <v>4</v>
      </c>
      <c r="AV7" s="5" t="s">
        <v>10</v>
      </c>
      <c r="AW7" s="3" t="s">
        <v>7</v>
      </c>
      <c r="AX7" s="3" t="s">
        <v>4</v>
      </c>
      <c r="AY7" s="5" t="s">
        <v>10</v>
      </c>
      <c r="AZ7" s="3" t="s">
        <v>7</v>
      </c>
      <c r="BA7" s="3" t="s">
        <v>4</v>
      </c>
      <c r="BB7" s="5" t="s">
        <v>10</v>
      </c>
      <c r="BC7" s="3" t="s">
        <v>7</v>
      </c>
      <c r="BD7" s="3" t="s">
        <v>4</v>
      </c>
      <c r="BE7" s="5" t="s">
        <v>10</v>
      </c>
      <c r="BF7" s="3" t="s">
        <v>7</v>
      </c>
      <c r="BG7" s="3" t="s">
        <v>4</v>
      </c>
      <c r="BH7" s="5" t="s">
        <v>10</v>
      </c>
      <c r="BI7" s="3" t="s">
        <v>7</v>
      </c>
      <c r="BJ7" s="3" t="s">
        <v>4</v>
      </c>
      <c r="BK7" s="5" t="s">
        <v>10</v>
      </c>
      <c r="BL7" s="3" t="s">
        <v>7</v>
      </c>
      <c r="BM7" s="3" t="s">
        <v>4</v>
      </c>
      <c r="BN7" s="5" t="s">
        <v>10</v>
      </c>
    </row>
    <row r="8" spans="1:66" s="22" customFormat="1" x14ac:dyDescent="0.25">
      <c r="A8" s="21"/>
      <c r="C8" s="23"/>
      <c r="D8" s="7"/>
      <c r="E8" s="7"/>
      <c r="F8" s="7"/>
      <c r="G8" s="7"/>
      <c r="H8" s="21"/>
      <c r="I8" s="7"/>
      <c r="J8" s="7"/>
      <c r="K8" s="7"/>
      <c r="L8" s="7"/>
      <c r="M8" s="7"/>
      <c r="N8" s="7"/>
      <c r="O8" s="7"/>
      <c r="P8" s="7"/>
      <c r="Q8" s="7"/>
      <c r="R8" s="7"/>
      <c r="S8" s="23"/>
      <c r="T8" s="21"/>
      <c r="U8" s="24"/>
      <c r="V8" s="21"/>
      <c r="W8" s="24"/>
      <c r="X8" s="21"/>
      <c r="Y8" s="21"/>
      <c r="Z8" s="25"/>
      <c r="AA8" s="21"/>
      <c r="AB8" s="21"/>
      <c r="AC8" s="24"/>
      <c r="AD8" s="26"/>
      <c r="AE8" s="21"/>
      <c r="AF8" s="21"/>
      <c r="AG8" s="24"/>
      <c r="AH8" s="21"/>
      <c r="AI8" s="21"/>
      <c r="AJ8" s="24"/>
      <c r="AK8" s="21"/>
      <c r="AL8" s="21"/>
      <c r="AM8" s="24"/>
      <c r="AN8" s="21"/>
      <c r="AO8" s="21"/>
      <c r="AP8" s="24"/>
      <c r="AQ8" s="21"/>
      <c r="AR8" s="21"/>
      <c r="AS8" s="24"/>
      <c r="AT8" s="21"/>
      <c r="AU8" s="21"/>
      <c r="AV8" s="24"/>
      <c r="AW8" s="21"/>
      <c r="AX8" s="21"/>
      <c r="AY8" s="24"/>
      <c r="AZ8" s="21"/>
      <c r="BA8" s="21"/>
      <c r="BB8" s="24"/>
      <c r="BC8" s="21"/>
      <c r="BD8" s="21"/>
      <c r="BE8" s="24"/>
      <c r="BF8" s="21"/>
      <c r="BG8" s="21"/>
      <c r="BH8" s="24"/>
      <c r="BI8" s="21"/>
      <c r="BJ8" s="21"/>
      <c r="BK8" s="21"/>
      <c r="BL8" s="21"/>
      <c r="BM8" s="21"/>
      <c r="BN8" s="21"/>
    </row>
    <row r="9" spans="1:66" s="22" customFormat="1" x14ac:dyDescent="0.25">
      <c r="A9" s="21"/>
      <c r="C9" s="23"/>
      <c r="H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</row>
    <row r="10" spans="1:66" s="22" customFormat="1" x14ac:dyDescent="0.25">
      <c r="A10" s="21"/>
      <c r="C10" s="23"/>
      <c r="H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</row>
    <row r="11" spans="1:66" s="22" customFormat="1" x14ac:dyDescent="0.25">
      <c r="A11" s="21"/>
      <c r="C11" s="23"/>
      <c r="H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</row>
    <row r="12" spans="1:66" s="22" customFormat="1" x14ac:dyDescent="0.25">
      <c r="A12" s="21"/>
      <c r="C12" s="23"/>
      <c r="H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</row>
    <row r="13" spans="1:66" s="22" customFormat="1" x14ac:dyDescent="0.25">
      <c r="A13" s="21"/>
      <c r="C13" s="23"/>
      <c r="H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</row>
    <row r="14" spans="1:66" s="22" customFormat="1" x14ac:dyDescent="0.25">
      <c r="A14" s="21"/>
      <c r="C14" s="23"/>
      <c r="H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</row>
    <row r="15" spans="1:66" s="22" customFormat="1" x14ac:dyDescent="0.25">
      <c r="A15" s="21"/>
      <c r="C15" s="23"/>
      <c r="H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</row>
    <row r="16" spans="1:66" s="22" customFormat="1" x14ac:dyDescent="0.25">
      <c r="A16" s="21"/>
      <c r="C16" s="23"/>
      <c r="H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</row>
    <row r="17" spans="1:66" s="22" customFormat="1" x14ac:dyDescent="0.25">
      <c r="A17" s="21"/>
      <c r="C17" s="23"/>
      <c r="H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</row>
    <row r="18" spans="1:66" s="22" customFormat="1" x14ac:dyDescent="0.25">
      <c r="A18" s="21">
        <v>10</v>
      </c>
      <c r="B18" s="22" t="s">
        <v>18</v>
      </c>
      <c r="C18" s="23">
        <v>17.93</v>
      </c>
      <c r="F18" s="22">
        <v>18.100000000000001</v>
      </c>
      <c r="H18" s="21"/>
      <c r="I18" s="22">
        <v>25.26</v>
      </c>
      <c r="J18" s="22">
        <v>27.35</v>
      </c>
      <c r="K18" s="29" t="s">
        <v>48</v>
      </c>
      <c r="N18" s="22">
        <v>24.69</v>
      </c>
      <c r="P18" s="22" t="s">
        <v>47</v>
      </c>
      <c r="Q18" s="22" t="s">
        <v>47</v>
      </c>
      <c r="R18" s="22">
        <v>20.350000000000001</v>
      </c>
      <c r="S18" s="22">
        <v>25.89</v>
      </c>
      <c r="T18" s="21" t="s">
        <v>20</v>
      </c>
      <c r="U18" s="21">
        <v>15.82</v>
      </c>
      <c r="V18" s="21" t="s">
        <v>19</v>
      </c>
      <c r="W18" s="21">
        <v>8.9600000000000009</v>
      </c>
      <c r="X18" s="21">
        <v>1</v>
      </c>
      <c r="Y18" s="21">
        <v>1</v>
      </c>
      <c r="Z18" s="21" t="s">
        <v>15</v>
      </c>
      <c r="AA18" s="21">
        <v>0</v>
      </c>
      <c r="AB18" s="21">
        <v>2</v>
      </c>
      <c r="AC18" s="21">
        <v>12.28</v>
      </c>
      <c r="AD18" s="21">
        <v>4</v>
      </c>
      <c r="AE18" s="21"/>
      <c r="AF18" s="21"/>
      <c r="AG18" s="21"/>
      <c r="AH18" s="21" t="s">
        <v>16</v>
      </c>
      <c r="AI18" s="21" t="s">
        <v>13</v>
      </c>
      <c r="AJ18" s="21" t="s">
        <v>15</v>
      </c>
      <c r="AK18" s="21"/>
      <c r="AL18" s="21"/>
      <c r="AM18" s="21"/>
      <c r="AN18" s="21" t="s">
        <v>14</v>
      </c>
      <c r="AO18" s="21" t="s">
        <v>13</v>
      </c>
      <c r="AP18" s="21">
        <v>10.06</v>
      </c>
      <c r="AQ18" s="21" t="s">
        <v>17</v>
      </c>
      <c r="AR18" s="21" t="s">
        <v>12</v>
      </c>
      <c r="AS18" s="21" t="s">
        <v>15</v>
      </c>
      <c r="AT18" s="21"/>
      <c r="AU18" s="21"/>
      <c r="AV18" s="21"/>
      <c r="AW18" s="21" t="s">
        <v>14</v>
      </c>
      <c r="AX18" s="21" t="s">
        <v>12</v>
      </c>
      <c r="AY18" s="21">
        <v>12.35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</row>
    <row r="19" spans="1:66" s="21" customFormat="1" x14ac:dyDescent="0.25">
      <c r="A19" s="21">
        <v>11</v>
      </c>
      <c r="B19" s="22" t="s">
        <v>49</v>
      </c>
      <c r="C19" s="27">
        <v>18.100000000000001</v>
      </c>
      <c r="D19" s="22">
        <v>0.87</v>
      </c>
      <c r="E19" s="31">
        <f>TRUNC(-4*LN(1-D19),2)</f>
        <v>8.16</v>
      </c>
      <c r="F19" s="22">
        <f>C19+E19</f>
        <v>26.26</v>
      </c>
      <c r="G19" s="22">
        <v>0.89</v>
      </c>
      <c r="H19" s="21" t="str">
        <f>IF(G19&lt;$G$32,$E$32,$E$33)</f>
        <v>Especializada</v>
      </c>
      <c r="I19" s="22"/>
      <c r="J19" s="22">
        <v>27.35</v>
      </c>
      <c r="K19" s="22">
        <f>C19+15</f>
        <v>33.1</v>
      </c>
      <c r="L19" s="22"/>
      <c r="M19" s="22"/>
      <c r="N19" s="22">
        <v>24.69</v>
      </c>
      <c r="O19" s="22"/>
      <c r="P19" s="22"/>
      <c r="Q19" s="22"/>
      <c r="R19" s="22">
        <v>20.350000000000001</v>
      </c>
      <c r="S19" s="22">
        <v>25.89</v>
      </c>
      <c r="T19" s="35" t="s">
        <v>20</v>
      </c>
      <c r="U19" s="36">
        <f>U18+(C19-C18)</f>
        <v>15.990000000000002</v>
      </c>
      <c r="V19" s="35" t="s">
        <v>19</v>
      </c>
      <c r="W19" s="36">
        <f>W18+(C19-C18)</f>
        <v>9.1300000000000026</v>
      </c>
      <c r="X19" s="35">
        <v>1</v>
      </c>
      <c r="Y19" s="35">
        <v>2</v>
      </c>
      <c r="Z19" s="35" t="s">
        <v>15</v>
      </c>
      <c r="AA19" s="35">
        <v>0</v>
      </c>
      <c r="AB19" s="35">
        <v>2</v>
      </c>
      <c r="AC19" s="35">
        <v>12.28</v>
      </c>
      <c r="AD19" s="35">
        <v>4</v>
      </c>
      <c r="AH19" s="35" t="s">
        <v>16</v>
      </c>
      <c r="AI19" s="35" t="s">
        <v>13</v>
      </c>
      <c r="AJ19" s="35" t="s">
        <v>15</v>
      </c>
      <c r="AK19" s="35"/>
      <c r="AL19" s="35"/>
      <c r="AM19" s="35"/>
      <c r="AN19" s="35" t="s">
        <v>14</v>
      </c>
      <c r="AO19" s="35" t="s">
        <v>13</v>
      </c>
      <c r="AP19" s="35">
        <v>10.06</v>
      </c>
      <c r="AQ19" s="35" t="s">
        <v>17</v>
      </c>
      <c r="AR19" s="35" t="s">
        <v>12</v>
      </c>
      <c r="AS19" s="35" t="s">
        <v>15</v>
      </c>
      <c r="AT19" s="35"/>
      <c r="AU19" s="35"/>
      <c r="AV19" s="35"/>
      <c r="AW19" s="35" t="s">
        <v>14</v>
      </c>
      <c r="AX19" s="35" t="s">
        <v>12</v>
      </c>
      <c r="AY19" s="35">
        <v>12.35</v>
      </c>
      <c r="AZ19" s="21" t="s">
        <v>14</v>
      </c>
      <c r="BA19" s="21" t="s">
        <v>13</v>
      </c>
      <c r="BB19" s="21">
        <v>18.100000000000001</v>
      </c>
    </row>
    <row r="20" spans="1:66" s="21" customFormat="1" x14ac:dyDescent="0.25">
      <c r="A20" s="21">
        <v>12</v>
      </c>
      <c r="B20" s="22" t="s">
        <v>53</v>
      </c>
      <c r="C20" s="27">
        <v>20.350000000000001</v>
      </c>
      <c r="D20" s="22"/>
      <c r="E20" s="22"/>
      <c r="F20" s="22">
        <v>26.26</v>
      </c>
      <c r="G20" s="22"/>
      <c r="I20" s="22"/>
      <c r="J20" s="22">
        <v>27.35</v>
      </c>
      <c r="K20" s="22">
        <v>33.1</v>
      </c>
      <c r="L20" s="22"/>
      <c r="M20" s="22"/>
      <c r="N20" s="22">
        <v>24.69</v>
      </c>
      <c r="O20" s="22"/>
      <c r="P20" s="22">
        <v>0.91</v>
      </c>
      <c r="Q20" s="22">
        <f>6+10*P20</f>
        <v>15.1</v>
      </c>
      <c r="R20" s="22">
        <f>Q20+C20</f>
        <v>35.450000000000003</v>
      </c>
      <c r="S20" s="22">
        <v>25.89</v>
      </c>
      <c r="T20" s="21" t="s">
        <v>20</v>
      </c>
      <c r="U20" s="36">
        <f>U19+(C20-C19)</f>
        <v>18.240000000000002</v>
      </c>
      <c r="V20" s="21" t="s">
        <v>19</v>
      </c>
      <c r="W20" s="36">
        <f>W19+(C20-C19)</f>
        <v>11.380000000000003</v>
      </c>
      <c r="X20" s="21">
        <v>1</v>
      </c>
      <c r="Y20" s="21">
        <v>1</v>
      </c>
      <c r="Z20" s="21" t="s">
        <v>15</v>
      </c>
      <c r="AA20" s="21">
        <v>0</v>
      </c>
      <c r="AB20" s="21">
        <v>2</v>
      </c>
      <c r="AC20" s="21">
        <f>AC19+(C20-AP19)</f>
        <v>22.57</v>
      </c>
      <c r="AD20" s="21">
        <v>5</v>
      </c>
      <c r="AH20" s="35" t="s">
        <v>16</v>
      </c>
      <c r="AI20" s="35" t="s">
        <v>13</v>
      </c>
      <c r="AJ20" s="35" t="s">
        <v>15</v>
      </c>
      <c r="AN20" s="21" t="s">
        <v>16</v>
      </c>
      <c r="AO20" s="21" t="s">
        <v>13</v>
      </c>
      <c r="AP20" s="21" t="s">
        <v>15</v>
      </c>
      <c r="AQ20" s="35" t="s">
        <v>17</v>
      </c>
      <c r="AR20" s="35" t="s">
        <v>12</v>
      </c>
      <c r="AS20" s="35" t="s">
        <v>15</v>
      </c>
      <c r="AW20" s="35" t="s">
        <v>14</v>
      </c>
      <c r="AX20" s="35" t="s">
        <v>12</v>
      </c>
      <c r="AY20" s="35">
        <v>12.35</v>
      </c>
      <c r="AZ20" s="35" t="s">
        <v>14</v>
      </c>
      <c r="BA20" s="35" t="s">
        <v>13</v>
      </c>
      <c r="BB20" s="35">
        <v>18.100000000000001</v>
      </c>
    </row>
    <row r="21" spans="1:66" s="21" customFormat="1" x14ac:dyDescent="0.25">
      <c r="A21" s="21">
        <v>13</v>
      </c>
      <c r="B21" s="22" t="s">
        <v>54</v>
      </c>
      <c r="C21" s="27">
        <v>24.69</v>
      </c>
      <c r="D21" s="22"/>
      <c r="E21" s="22"/>
      <c r="F21" s="22">
        <v>26.26</v>
      </c>
      <c r="G21" s="22"/>
      <c r="I21" s="22"/>
      <c r="J21" s="22">
        <v>27.35</v>
      </c>
      <c r="K21" s="22">
        <v>33.1</v>
      </c>
      <c r="L21" s="22">
        <v>0.74</v>
      </c>
      <c r="M21" s="22">
        <f>TRUNC(-90*LN(1-L21),2)</f>
        <v>121.23</v>
      </c>
      <c r="N21" s="22">
        <f>M21+C21</f>
        <v>145.92000000000002</v>
      </c>
      <c r="O21" s="22"/>
      <c r="P21" s="22"/>
      <c r="Q21" s="22"/>
      <c r="R21" s="22">
        <v>35.450000000000003</v>
      </c>
      <c r="S21" s="28" t="s">
        <v>15</v>
      </c>
      <c r="T21" s="35" t="s">
        <v>20</v>
      </c>
      <c r="U21" s="36">
        <f>U20+(C21-C20)</f>
        <v>22.580000000000002</v>
      </c>
      <c r="V21" s="21" t="s">
        <v>55</v>
      </c>
      <c r="W21" s="36">
        <f>W20+(C21-C20)</f>
        <v>15.720000000000002</v>
      </c>
      <c r="X21" s="21">
        <v>1</v>
      </c>
      <c r="Y21" s="21">
        <v>1</v>
      </c>
      <c r="Z21" s="36">
        <f>S20-C21</f>
        <v>1.1999999999999993</v>
      </c>
      <c r="AA21" s="21">
        <v>0</v>
      </c>
      <c r="AB21" s="21">
        <v>2</v>
      </c>
      <c r="AC21" s="21">
        <v>22.57</v>
      </c>
      <c r="AD21" s="21">
        <v>5</v>
      </c>
      <c r="AH21" s="38"/>
      <c r="AI21" s="38"/>
      <c r="AJ21" s="38"/>
      <c r="AN21" s="35" t="s">
        <v>16</v>
      </c>
      <c r="AO21" s="35" t="s">
        <v>13</v>
      </c>
      <c r="AP21" s="35" t="s">
        <v>15</v>
      </c>
      <c r="AQ21" s="21" t="s">
        <v>56</v>
      </c>
      <c r="AR21" s="21" t="s">
        <v>12</v>
      </c>
      <c r="AS21" s="21" t="s">
        <v>15</v>
      </c>
      <c r="AW21" s="35" t="s">
        <v>14</v>
      </c>
      <c r="AX21" s="35" t="s">
        <v>12</v>
      </c>
      <c r="AY21" s="35">
        <v>12.35</v>
      </c>
      <c r="AZ21" s="35" t="s">
        <v>14</v>
      </c>
      <c r="BA21" s="35" t="s">
        <v>13</v>
      </c>
      <c r="BB21" s="35">
        <v>18.100000000000001</v>
      </c>
    </row>
    <row r="22" spans="1:66" x14ac:dyDescent="0.25">
      <c r="A22" s="14" t="s">
        <v>38</v>
      </c>
      <c r="F22" s="8"/>
      <c r="M22" s="7"/>
      <c r="Q22"/>
      <c r="R22"/>
      <c r="S22" s="19"/>
      <c r="U22"/>
      <c r="W22"/>
      <c r="X22"/>
      <c r="Z22" s="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</row>
    <row r="23" spans="1:66" x14ac:dyDescent="0.25">
      <c r="A23" s="14" t="s">
        <v>37</v>
      </c>
      <c r="D23">
        <v>0.87</v>
      </c>
      <c r="G23">
        <v>0.89</v>
      </c>
      <c r="L23" s="4">
        <v>0.74</v>
      </c>
      <c r="M23" s="7"/>
      <c r="P23">
        <v>0.91</v>
      </c>
      <c r="Q23"/>
      <c r="R23"/>
      <c r="S23"/>
      <c r="U23"/>
      <c r="W23"/>
      <c r="X23"/>
      <c r="Z23" s="2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</row>
    <row r="24" spans="1:66" x14ac:dyDescent="0.25">
      <c r="A24" s="14" t="s">
        <v>39</v>
      </c>
      <c r="D24">
        <v>0.91</v>
      </c>
      <c r="G24">
        <v>0.24</v>
      </c>
      <c r="L24" s="4">
        <v>0.57999999999999996</v>
      </c>
      <c r="M24" s="7"/>
      <c r="P24">
        <v>0.39</v>
      </c>
      <c r="Q24"/>
      <c r="R24" s="19"/>
      <c r="S24"/>
      <c r="U24"/>
      <c r="W24"/>
      <c r="X24"/>
      <c r="Z24" s="2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</row>
    <row r="25" spans="1:66" x14ac:dyDescent="0.25">
      <c r="A25" s="14" t="s">
        <v>40</v>
      </c>
      <c r="D25">
        <v>0.55000000000000004</v>
      </c>
      <c r="G25">
        <v>7.0000000000000007E-2</v>
      </c>
      <c r="L25" s="4">
        <v>0.61</v>
      </c>
      <c r="M25" s="7"/>
      <c r="P25">
        <v>0.56000000000000005</v>
      </c>
      <c r="Q25"/>
      <c r="R25"/>
      <c r="S25"/>
      <c r="U25"/>
      <c r="W25"/>
      <c r="X25"/>
      <c r="Z25" s="2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</row>
    <row r="26" spans="1:66" x14ac:dyDescent="0.25">
      <c r="A26" s="15" t="s">
        <v>41</v>
      </c>
      <c r="M26" s="7"/>
      <c r="P26"/>
      <c r="Q26"/>
      <c r="R26"/>
      <c r="S26" s="10"/>
      <c r="U26"/>
      <c r="W26"/>
      <c r="X26"/>
      <c r="Z26" s="2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</row>
    <row r="27" spans="1:66" x14ac:dyDescent="0.25">
      <c r="D27"/>
      <c r="F27" s="8" t="s">
        <v>42</v>
      </c>
      <c r="G27"/>
      <c r="I27" s="10"/>
      <c r="M27" s="7"/>
      <c r="P27"/>
      <c r="Q27"/>
      <c r="R27"/>
      <c r="S27"/>
      <c r="U27"/>
      <c r="W27"/>
      <c r="X27"/>
      <c r="Z27" s="2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</row>
    <row r="28" spans="1:66" s="2" customFormat="1" x14ac:dyDescent="0.25">
      <c r="B28"/>
      <c r="C28" s="16"/>
      <c r="D28"/>
      <c r="E28" s="4"/>
      <c r="F28" s="4"/>
      <c r="G28"/>
      <c r="I28" s="4"/>
      <c r="J28" s="4"/>
      <c r="K28" s="4"/>
      <c r="L28" s="4"/>
      <c r="M28" s="4"/>
      <c r="N28" s="4"/>
      <c r="O28" s="4"/>
      <c r="Q28" s="4"/>
      <c r="R28" s="4"/>
      <c r="S28" s="16"/>
      <c r="U28" s="6"/>
      <c r="W28" s="6"/>
      <c r="Z28" s="18"/>
      <c r="AC28" s="6"/>
      <c r="AD28" s="17"/>
      <c r="AG28" s="6"/>
      <c r="AJ28" s="6"/>
      <c r="AM28" s="6"/>
      <c r="AP28" s="6"/>
      <c r="AS28" s="6"/>
      <c r="AV28" s="6"/>
      <c r="AY28" s="6"/>
      <c r="BB28" s="6"/>
      <c r="BE28" s="6"/>
      <c r="BH28" s="6"/>
    </row>
    <row r="29" spans="1:66" x14ac:dyDescent="0.25">
      <c r="D29"/>
      <c r="G29"/>
    </row>
    <row r="30" spans="1:66" s="2" customFormat="1" x14ac:dyDescent="0.25">
      <c r="B30"/>
      <c r="C30" s="16"/>
      <c r="D30"/>
      <c r="E30" s="4"/>
      <c r="F30" s="4"/>
      <c r="G30"/>
      <c r="I30" s="4"/>
      <c r="J30" s="4"/>
      <c r="K30" s="4"/>
      <c r="L30" s="4"/>
      <c r="M30" s="4"/>
      <c r="N30" s="4"/>
      <c r="O30" s="4"/>
      <c r="P30" s="4"/>
      <c r="Q30" s="4"/>
      <c r="R30" s="4"/>
      <c r="S30" s="16"/>
      <c r="U30" s="13"/>
      <c r="W30" s="13"/>
      <c r="Z30" s="18"/>
      <c r="AC30" s="54"/>
      <c r="AD30" s="54"/>
      <c r="AG30" s="6"/>
      <c r="AJ30" s="6"/>
      <c r="AM30" s="6"/>
      <c r="AP30" s="6"/>
      <c r="AS30" s="6"/>
      <c r="AV30" s="6"/>
      <c r="AY30" s="6"/>
      <c r="BB30" s="6"/>
      <c r="BE30" s="6"/>
      <c r="BH30" s="6"/>
    </row>
    <row r="31" spans="1:66" x14ac:dyDescent="0.25">
      <c r="E31" s="32" t="s">
        <v>4</v>
      </c>
      <c r="F31" s="32"/>
      <c r="G31" s="32" t="s">
        <v>50</v>
      </c>
    </row>
    <row r="32" spans="1:66" x14ac:dyDescent="0.25">
      <c r="E32" s="32" t="s">
        <v>51</v>
      </c>
      <c r="F32" s="37">
        <v>0.5</v>
      </c>
      <c r="G32" s="32">
        <v>0.5</v>
      </c>
    </row>
    <row r="33" spans="5:12" x14ac:dyDescent="0.25">
      <c r="E33" s="32" t="s">
        <v>52</v>
      </c>
      <c r="F33" s="32">
        <v>0.5</v>
      </c>
      <c r="G33" s="32">
        <v>1</v>
      </c>
    </row>
    <row r="34" spans="5:12" x14ac:dyDescent="0.25">
      <c r="E34" s="30"/>
      <c r="F34" s="30"/>
      <c r="G34" s="30"/>
    </row>
    <row r="38" spans="5:12" x14ac:dyDescent="0.25">
      <c r="E38" s="4" t="s">
        <v>57</v>
      </c>
    </row>
    <row r="39" spans="5:12" x14ac:dyDescent="0.25">
      <c r="E39" s="34">
        <v>15</v>
      </c>
      <c r="F39" s="34">
        <v>102.17249200000001</v>
      </c>
      <c r="G39" s="34">
        <v>22.842773000000001</v>
      </c>
      <c r="H39" s="33">
        <v>23.070278999999999</v>
      </c>
      <c r="I39" s="34">
        <v>23.072441000000001</v>
      </c>
      <c r="J39" s="34">
        <v>23.302149</v>
      </c>
      <c r="K39" s="34">
        <v>15.1</v>
      </c>
      <c r="L39" s="34">
        <v>104.479664</v>
      </c>
    </row>
  </sheetData>
  <mergeCells count="46">
    <mergeCell ref="AZ6:BB6"/>
    <mergeCell ref="BC6:BE6"/>
    <mergeCell ref="BF6:BH6"/>
    <mergeCell ref="BI6:BK6"/>
    <mergeCell ref="BL6:BN6"/>
    <mergeCell ref="AC30:AD30"/>
    <mergeCell ref="AH6:AJ6"/>
    <mergeCell ref="AK6:AM6"/>
    <mergeCell ref="AN6:AP6"/>
    <mergeCell ref="AQ6:AS6"/>
    <mergeCell ref="N6:N7"/>
    <mergeCell ref="AT6:AV6"/>
    <mergeCell ref="AW6:AY6"/>
    <mergeCell ref="Q6:Q7"/>
    <mergeCell ref="R6:R7"/>
    <mergeCell ref="S6:S7"/>
    <mergeCell ref="T6:U6"/>
    <mergeCell ref="V6:W6"/>
    <mergeCell ref="AE6:AG6"/>
    <mergeCell ref="Y5:Y7"/>
    <mergeCell ref="Z5:Z7"/>
    <mergeCell ref="AA5:AA7"/>
    <mergeCell ref="AB5:AB7"/>
    <mergeCell ref="AC5:AC7"/>
    <mergeCell ref="AD5:AD7"/>
    <mergeCell ref="I6:I7"/>
    <mergeCell ref="J6:J7"/>
    <mergeCell ref="K6:K7"/>
    <mergeCell ref="L6:L7"/>
    <mergeCell ref="M6:M7"/>
    <mergeCell ref="AC4:AD4"/>
    <mergeCell ref="B5:B7"/>
    <mergeCell ref="C5:C7"/>
    <mergeCell ref="D5:H5"/>
    <mergeCell ref="I5:K5"/>
    <mergeCell ref="L5:N5"/>
    <mergeCell ref="O5:O7"/>
    <mergeCell ref="P5:S5"/>
    <mergeCell ref="T5:W5"/>
    <mergeCell ref="X5:X7"/>
    <mergeCell ref="P6:P7"/>
    <mergeCell ref="D6:D7"/>
    <mergeCell ref="E6:E7"/>
    <mergeCell ref="F6:F7"/>
    <mergeCell ref="G6:G7"/>
    <mergeCell ref="H6:H7"/>
  </mergeCells>
  <printOptions gridLines="1"/>
  <pageMargins left="3.937007874015748E-2" right="3.937007874015748E-2" top="0.74803149606299213" bottom="0.74803149606299213" header="0.31496062992125984" footer="0.31496062992125984"/>
  <pageSetup paperSize="9" scale="85" fitToWidth="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10 filas</vt:lpstr>
      <vt:lpstr>'10 filas'!Área_de_impresión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Carena</dc:creator>
  <cp:lastModifiedBy>alumno</cp:lastModifiedBy>
  <cp:lastPrinted>2025-06-11T15:14:17Z</cp:lastPrinted>
  <dcterms:created xsi:type="dcterms:W3CDTF">2025-06-05T01:01:34Z</dcterms:created>
  <dcterms:modified xsi:type="dcterms:W3CDTF">2025-06-21T14:36:56Z</dcterms:modified>
</cp:coreProperties>
</file>