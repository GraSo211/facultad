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Creepy\Desktop\Cosas Fran\Facu Fran\2025\SIM\"/>
    </mc:Choice>
  </mc:AlternateContent>
  <xr:revisionPtr revIDLastSave="0" documentId="8_{302C33EF-CDC7-44E6-8CA2-3FF51FBFD4F7}" xr6:coauthVersionLast="47" xr6:coauthVersionMax="47" xr10:uidLastSave="{00000000-0000-0000-0000-000000000000}"/>
  <bookViews>
    <workbookView xWindow="-120" yWindow="-120" windowWidth="29040" windowHeight="15840" tabRatio="405" xr2:uid="{00000000-000D-0000-FFFF-FFFF00000000}"/>
  </bookViews>
  <sheets>
    <sheet name="Cabecera" sheetId="4" r:id="rId1"/>
  </sheets>
  <definedNames>
    <definedName name="_xlnm.Print_Area" localSheetId="0">Cabecera!$A$2:$Z$27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77" i="4" l="1"/>
  <c r="F77" i="4"/>
  <c r="C78" i="4" s="1"/>
  <c r="I77" i="4"/>
  <c r="L77" i="4"/>
  <c r="L78" i="4" s="1"/>
  <c r="L79" i="4" s="1"/>
  <c r="L80" i="4" s="1"/>
  <c r="P77" i="4"/>
  <c r="Q77" i="4"/>
  <c r="R77" i="4"/>
  <c r="S77" i="4"/>
  <c r="W77" i="4"/>
  <c r="W78" i="4" s="1"/>
  <c r="W79" i="4" s="1"/>
  <c r="Y77" i="4"/>
  <c r="Y78" i="4" s="1"/>
  <c r="Y79" i="4" s="1"/>
  <c r="AR77" i="4"/>
  <c r="AU77" i="4"/>
  <c r="E78" i="4"/>
  <c r="I78" i="4"/>
  <c r="Q78" i="4"/>
  <c r="Q79" i="4" s="1"/>
  <c r="Q80" i="4" s="1"/>
  <c r="R78" i="4"/>
  <c r="S78" i="4"/>
  <c r="X78" i="4"/>
  <c r="X79" i="4" s="1"/>
  <c r="Z78" i="4"/>
  <c r="Z79" i="4" s="1"/>
  <c r="AP78" i="4"/>
  <c r="AQ78" i="4"/>
  <c r="AR78" i="4"/>
  <c r="AS78" i="4"/>
  <c r="AS79" i="4" s="1"/>
  <c r="AS80" i="4" s="1"/>
  <c r="AT78" i="4"/>
  <c r="AU78" i="4"/>
  <c r="AU79" i="4" s="1"/>
  <c r="AU80" i="4" s="1"/>
  <c r="H79" i="4"/>
  <c r="R79" i="4"/>
  <c r="R80" i="4" s="1"/>
  <c r="S79" i="4"/>
  <c r="AP79" i="4"/>
  <c r="AQ79" i="4"/>
  <c r="AR79" i="4"/>
  <c r="AT79" i="4"/>
  <c r="AV79" i="4"/>
  <c r="AW79" i="4"/>
  <c r="AT80" i="4"/>
  <c r="AY80" i="4"/>
  <c r="AZ80" i="4"/>
  <c r="C44" i="4"/>
  <c r="Y44" i="4" s="1"/>
  <c r="Y45" i="4" s="1"/>
  <c r="Y46" i="4" s="1"/>
  <c r="F44" i="4"/>
  <c r="I44" i="4"/>
  <c r="I45" i="4" s="1"/>
  <c r="I46" i="4" s="1"/>
  <c r="L44" i="4"/>
  <c r="L45" i="4" s="1"/>
  <c r="Q44" i="4"/>
  <c r="Q45" i="4" s="1"/>
  <c r="Q46" i="4" s="1"/>
  <c r="W44" i="4"/>
  <c r="W45" i="4" s="1"/>
  <c r="W46" i="4" s="1"/>
  <c r="AO44" i="4"/>
  <c r="E45" i="4"/>
  <c r="AO45" i="4"/>
  <c r="AO46" i="4" s="1"/>
  <c r="K46" i="4"/>
  <c r="AP46" i="4"/>
  <c r="R47" i="4"/>
  <c r="H7" i="4"/>
  <c r="Q6" i="4"/>
  <c r="Q7" i="4" s="1"/>
  <c r="P6" i="4"/>
  <c r="R6" i="4" s="1"/>
  <c r="R7" i="4" s="1"/>
  <c r="L6" i="4"/>
  <c r="L7" i="4" s="1"/>
  <c r="L8" i="4" s="1"/>
  <c r="I6" i="4"/>
  <c r="E6" i="4"/>
  <c r="C6" i="4"/>
  <c r="AC6" i="4" s="1"/>
  <c r="AC7" i="4" s="1"/>
  <c r="AX78" i="4" l="1"/>
  <c r="AX79" i="4" s="1"/>
  <c r="AX80" i="4" s="1"/>
  <c r="F78" i="4"/>
  <c r="R44" i="4"/>
  <c r="F6" i="4"/>
  <c r="C45" i="4" l="1"/>
  <c r="R45" i="4"/>
  <c r="C79" i="4"/>
  <c r="F79" i="4"/>
  <c r="F7" i="4"/>
  <c r="C7" i="4"/>
  <c r="F80" i="4" l="1"/>
  <c r="BA79" i="4"/>
  <c r="BA80" i="4" s="1"/>
  <c r="I79" i="4"/>
  <c r="I80" i="4" s="1"/>
  <c r="AR45" i="4"/>
  <c r="AR46" i="4" s="1"/>
  <c r="F45" i="4"/>
  <c r="I7" i="4"/>
  <c r="I8" i="4" s="1"/>
  <c r="AF7" i="4"/>
  <c r="AF8" i="4" s="1"/>
  <c r="S7" i="4"/>
  <c r="F8" i="4"/>
  <c r="C8" i="4"/>
  <c r="C46" i="4" l="1"/>
  <c r="F46" i="4"/>
  <c r="C80" i="4"/>
  <c r="Y8" i="4"/>
  <c r="S8" i="4"/>
  <c r="Y80" i="4" l="1"/>
  <c r="Y82" i="4" s="1"/>
  <c r="S80" i="4"/>
  <c r="W80" i="4"/>
  <c r="W82" i="4" s="1"/>
  <c r="R46" i="4"/>
  <c r="L46" i="4"/>
  <c r="M46" i="4"/>
</calcChain>
</file>

<file path=xl/sharedStrings.xml><?xml version="1.0" encoding="utf-8"?>
<sst xmlns="http://schemas.openxmlformats.org/spreadsheetml/2006/main" count="298" uniqueCount="84">
  <si>
    <t>Evento</t>
  </si>
  <si>
    <t>RND</t>
  </si>
  <si>
    <t>fin ayuda radio</t>
  </si>
  <si>
    <t>RND 1</t>
  </si>
  <si>
    <t>RND 2</t>
  </si>
  <si>
    <t>tiempo atención 2</t>
  </si>
  <si>
    <t>tiempo atención 1</t>
  </si>
  <si>
    <t>Estado</t>
  </si>
  <si>
    <t>MECANICO (N)</t>
  </si>
  <si>
    <t>Cola de Camiones</t>
  </si>
  <si>
    <t>AC
Tiempos de espera</t>
  </si>
  <si>
    <t>Hora Lleg.</t>
  </si>
  <si>
    <t>Tipo</t>
  </si>
  <si>
    <t>CAMION</t>
  </si>
  <si>
    <t>Inicialización</t>
  </si>
  <si>
    <t>Libre</t>
  </si>
  <si>
    <t>(min)
Reloj</t>
  </si>
  <si>
    <t>próxima llamada</t>
  </si>
  <si>
    <t>A)</t>
  </si>
  <si>
    <t>B)</t>
  </si>
  <si>
    <t>Nro. Evento</t>
  </si>
  <si>
    <t>lleg_camión_carga</t>
  </si>
  <si>
    <t>lleg_camión_revisión</t>
  </si>
  <si>
    <t>llegada_llamada_radio</t>
  </si>
  <si>
    <t>Tpo. entre
llegadas</t>
  </si>
  <si>
    <t>fin_atención (i)</t>
  </si>
  <si>
    <t>AC Tiempos de permanen cia</t>
  </si>
  <si>
    <t>Cont. Cam. atención finalizada</t>
  </si>
  <si>
    <t>Cont. Cam. con acceso a mecánico</t>
  </si>
  <si>
    <t>--</t>
  </si>
  <si>
    <t>Estos son los eventuales</t>
  </si>
  <si>
    <t>RNDs a usar en cada evento --&gt;</t>
  </si>
  <si>
    <t>1° llegada llamada</t>
  </si>
  <si>
    <t>1° fin atención</t>
  </si>
  <si>
    <t>Primero el de arriba</t>
  </si>
  <si>
    <t>2° llegada llamada</t>
  </si>
  <si>
    <t>2° fin atención</t>
  </si>
  <si>
    <t>luego el segundo etc.</t>
  </si>
  <si>
    <t>3° llegada llamada</t>
  </si>
  <si>
    <t>3° fin atención</t>
  </si>
  <si>
    <t>SEGÚN DEMANDA de cada evento</t>
  </si>
  <si>
    <t>(usar los que necesite para cada evento)</t>
  </si>
  <si>
    <t>1° llegada revción</t>
  </si>
  <si>
    <t>2° llegada revisión</t>
  </si>
  <si>
    <t>3° llegada revisión</t>
  </si>
  <si>
    <t>1° llegada carga</t>
  </si>
  <si>
    <t>2° llegada</t>
  </si>
  <si>
    <t>3° llegada</t>
  </si>
  <si>
    <t>El Tiempo de cada llamada es de 6 minutos</t>
  </si>
  <si>
    <t>próxima llegada carga</t>
  </si>
  <si>
    <t>próxima llegada revisión</t>
  </si>
  <si>
    <t>Fin Atenc. Mecánico 1</t>
  </si>
  <si>
    <t>Fin Atenc. Mecánico 2</t>
  </si>
  <si>
    <t>Ocupado</t>
  </si>
  <si>
    <t>4 camiones por hora</t>
  </si>
  <si>
    <t>4 camiones cada 60 minutos</t>
  </si>
  <si>
    <t>1 camion cada 15 minutos</t>
  </si>
  <si>
    <t>Fin Atencion 1</t>
  </si>
  <si>
    <t>Lleg Cam CC</t>
  </si>
  <si>
    <t>Lleg Cam CC 1</t>
  </si>
  <si>
    <t>A 1</t>
  </si>
  <si>
    <t>CC</t>
  </si>
  <si>
    <t>Lleg Cam RT 1</t>
  </si>
  <si>
    <t>A 2</t>
  </si>
  <si>
    <t>RT</t>
  </si>
  <si>
    <t>Ayudando</t>
  </si>
  <si>
    <t>rev</t>
  </si>
  <si>
    <t>SA(1)</t>
  </si>
  <si>
    <t>Aten Llam</t>
  </si>
  <si>
    <t>Rev.Cam.</t>
  </si>
  <si>
    <t>Lleg Llam 1</t>
  </si>
  <si>
    <t>EA</t>
  </si>
  <si>
    <t>Lleg Cam CC 6</t>
  </si>
  <si>
    <t>Fin Aten 4</t>
  </si>
  <si>
    <t>com</t>
  </si>
  <si>
    <t>SA(2)</t>
  </si>
  <si>
    <t>Car.Comb.</t>
  </si>
  <si>
    <t>OCULTO</t>
  </si>
  <si>
    <t>fin_ayuda_radio</t>
  </si>
  <si>
    <t>SA 2</t>
  </si>
  <si>
    <t>Fin Atencion 6</t>
  </si>
  <si>
    <t>Lleg Cam RT</t>
  </si>
  <si>
    <t>SA 1</t>
  </si>
  <si>
    <t>Fin Atencion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</si>
</sst>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trike/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EE0000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9" borderId="0" applyNumberFormat="0" applyBorder="0" applyAlignment="0" applyProtection="0"/>
  </cellStyleXfs>
  <cellXfs count="55">
    <xf numFmtId="0" fontId="0" fillId="0" borderId="0" xfId="0"/>
    <xf numFmtId="0" fontId="1" fillId="0" borderId="0" xfId="0" applyFont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" fillId="0" borderId="0" xfId="0" applyFont="1"/>
    <xf numFmtId="2" fontId="0" fillId="0" borderId="0" xfId="0" applyNumberFormat="1"/>
    <xf numFmtId="2" fontId="3" fillId="0" borderId="0" xfId="0" applyNumberFormat="1" applyFont="1"/>
    <xf numFmtId="2" fontId="0" fillId="0" borderId="0" xfId="0" applyNumberFormat="1" applyAlignment="1">
      <alignment horizontal="center"/>
    </xf>
    <xf numFmtId="2" fontId="2" fillId="0" borderId="0" xfId="0" applyNumberFormat="1" applyFont="1"/>
    <xf numFmtId="0" fontId="1" fillId="0" borderId="0" xfId="0" applyFont="1" applyAlignment="1">
      <alignment horizontal="center" wrapText="1"/>
    </xf>
    <xf numFmtId="2" fontId="1" fillId="0" borderId="0" xfId="0" applyNumberFormat="1" applyFont="1" applyAlignment="1">
      <alignment horizontal="center" wrapText="1"/>
    </xf>
    <xf numFmtId="0" fontId="1" fillId="0" borderId="0" xfId="0" applyFont="1" applyAlignment="1">
      <alignment horizontal="left"/>
    </xf>
    <xf numFmtId="0" fontId="2" fillId="0" borderId="0" xfId="0" applyFont="1"/>
    <xf numFmtId="0" fontId="0" fillId="0" borderId="0" xfId="0" quotePrefix="1" applyAlignment="1">
      <alignment horizontal="center"/>
    </xf>
    <xf numFmtId="0" fontId="0" fillId="0" borderId="0" xfId="0" applyAlignment="1">
      <alignment horizontal="left"/>
    </xf>
    <xf numFmtId="2" fontId="4" fillId="0" borderId="0" xfId="0" applyNumberFormat="1" applyFont="1"/>
    <xf numFmtId="2" fontId="1" fillId="3" borderId="0" xfId="0" applyNumberFormat="1" applyFont="1" applyFill="1"/>
    <xf numFmtId="2" fontId="0" fillId="3" borderId="0" xfId="0" applyNumberFormat="1" applyFill="1"/>
    <xf numFmtId="0" fontId="1" fillId="0" borderId="0" xfId="0" applyFont="1" applyAlignment="1">
      <alignment horizontal="center" wrapText="1"/>
    </xf>
    <xf numFmtId="2" fontId="0" fillId="0" borderId="0" xfId="0" applyNumberFormat="1" applyAlignment="1">
      <alignment horizontal="center"/>
    </xf>
    <xf numFmtId="2" fontId="1" fillId="0" borderId="0" xfId="0" applyNumberFormat="1" applyFont="1" applyAlignment="1">
      <alignment horizontal="center" wrapText="1"/>
    </xf>
    <xf numFmtId="1" fontId="1" fillId="2" borderId="0" xfId="0" applyNumberFormat="1" applyFont="1" applyFill="1" applyAlignment="1">
      <alignment horizontal="center" wrapText="1"/>
    </xf>
    <xf numFmtId="2" fontId="1" fillId="0" borderId="0" xfId="0" applyNumberFormat="1" applyFont="1" applyAlignment="1">
      <alignment horizontal="center"/>
    </xf>
    <xf numFmtId="0" fontId="1" fillId="8" borderId="0" xfId="0" applyFont="1" applyFill="1" applyAlignment="1">
      <alignment horizontal="left"/>
    </xf>
    <xf numFmtId="0" fontId="1" fillId="2" borderId="0" xfId="0" applyFont="1" applyFill="1" applyAlignment="1">
      <alignment horizontal="center"/>
    </xf>
    <xf numFmtId="2" fontId="1" fillId="4" borderId="0" xfId="0" applyNumberFormat="1" applyFont="1" applyFill="1" applyAlignment="1">
      <alignment horizontal="center" wrapText="1"/>
    </xf>
    <xf numFmtId="2" fontId="1" fillId="6" borderId="0" xfId="0" applyNumberFormat="1" applyFont="1" applyFill="1" applyAlignment="1">
      <alignment horizontal="center" wrapText="1"/>
    </xf>
    <xf numFmtId="0" fontId="1" fillId="7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2" fontId="1" fillId="5" borderId="0" xfId="0" applyNumberFormat="1" applyFont="1" applyFill="1" applyAlignment="1">
      <alignment horizontal="center" wrapText="1"/>
    </xf>
    <xf numFmtId="0" fontId="1" fillId="11" borderId="1" xfId="0" applyFont="1" applyFill="1" applyBorder="1" applyAlignment="1">
      <alignment horizontal="left"/>
    </xf>
    <xf numFmtId="2" fontId="1" fillId="10" borderId="1" xfId="0" applyNumberFormat="1" applyFont="1" applyFill="1" applyBorder="1" applyAlignment="1">
      <alignment horizontal="center" wrapText="1"/>
    </xf>
    <xf numFmtId="2" fontId="1" fillId="10" borderId="1" xfId="0" applyNumberFormat="1" applyFont="1" applyFill="1" applyBorder="1" applyAlignment="1">
      <alignment horizontal="center"/>
    </xf>
    <xf numFmtId="0" fontId="0" fillId="11" borderId="1" xfId="0" applyFill="1" applyBorder="1"/>
    <xf numFmtId="0" fontId="0" fillId="10" borderId="1" xfId="0" applyFill="1" applyBorder="1"/>
    <xf numFmtId="0" fontId="0" fillId="12" borderId="0" xfId="0" applyFill="1"/>
    <xf numFmtId="0" fontId="0" fillId="3" borderId="1" xfId="0" applyFill="1" applyBorder="1"/>
    <xf numFmtId="0" fontId="0" fillId="13" borderId="1" xfId="0" applyFill="1" applyBorder="1"/>
    <xf numFmtId="0" fontId="0" fillId="3" borderId="1" xfId="0" quotePrefix="1" applyFill="1" applyBorder="1" applyAlignment="1">
      <alignment horizontal="center"/>
    </xf>
    <xf numFmtId="2" fontId="1" fillId="3" borderId="1" xfId="0" applyNumberFormat="1" applyFont="1" applyFill="1" applyBorder="1" applyAlignment="1">
      <alignment horizontal="center" wrapText="1"/>
    </xf>
    <xf numFmtId="0" fontId="1" fillId="13" borderId="1" xfId="0" applyFont="1" applyFill="1" applyBorder="1" applyAlignment="1">
      <alignment horizontal="left"/>
    </xf>
    <xf numFmtId="2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3" fillId="12" borderId="0" xfId="0" applyFont="1" applyFill="1"/>
    <xf numFmtId="0" fontId="3" fillId="14" borderId="0" xfId="1" applyFont="1" applyFill="1"/>
    <xf numFmtId="0" fontId="3" fillId="9" borderId="0" xfId="1" applyFont="1"/>
    <xf numFmtId="0" fontId="3" fillId="3" borderId="1" xfId="0" applyFont="1" applyFill="1" applyBorder="1"/>
    <xf numFmtId="0" fontId="3" fillId="10" borderId="1" xfId="0" applyFont="1" applyFill="1" applyBorder="1"/>
    <xf numFmtId="0" fontId="3" fillId="11" borderId="1" xfId="0" applyFont="1" applyFill="1" applyBorder="1"/>
    <xf numFmtId="0" fontId="3" fillId="11" borderId="1" xfId="0" applyFont="1" applyFill="1" applyBorder="1" applyAlignment="1">
      <alignment horizontal="center"/>
    </xf>
    <xf numFmtId="0" fontId="0" fillId="11" borderId="1" xfId="0" applyFill="1" applyBorder="1" applyAlignment="1">
      <alignment horizontal="center"/>
    </xf>
    <xf numFmtId="1" fontId="1" fillId="3" borderId="1" xfId="0" applyNumberFormat="1" applyFont="1" applyFill="1" applyBorder="1" applyAlignment="1">
      <alignment horizontal="center" wrapText="1"/>
    </xf>
    <xf numFmtId="0" fontId="1" fillId="11" borderId="1" xfId="0" applyFont="1" applyFill="1" applyBorder="1" applyAlignment="1">
      <alignment horizontal="center" wrapText="1"/>
    </xf>
  </cellXfs>
  <cellStyles count="2">
    <cellStyle name="Bueno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561975</xdr:colOff>
      <xdr:row>23</xdr:row>
      <xdr:rowOff>28575</xdr:rowOff>
    </xdr:from>
    <xdr:to>
      <xdr:col>12</xdr:col>
      <xdr:colOff>67152</xdr:colOff>
      <xdr:row>27</xdr:row>
      <xdr:rowOff>95366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C9B6DBB-2136-485D-8232-9F538534B4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43375" y="4533900"/>
          <a:ext cx="3419952" cy="82879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7F05C-1C6A-499B-A704-E39E5780ED5B}">
  <dimension ref="A1:BA87"/>
  <sheetViews>
    <sheetView tabSelected="1" workbookViewId="0">
      <selection activeCell="E65" sqref="E65"/>
    </sheetView>
  </sheetViews>
  <sheetFormatPr baseColWidth="10" defaultRowHeight="15" x14ac:dyDescent="0.25"/>
  <cols>
    <col min="1" max="1" width="7" style="3" customWidth="1"/>
    <col min="2" max="2" width="24.7109375" customWidth="1"/>
    <col min="3" max="3" width="7.28515625" style="5" customWidth="1"/>
    <col min="4" max="4" width="6.7109375" style="5" customWidth="1"/>
    <col min="5" max="5" width="8" style="5" customWidth="1"/>
    <col min="6" max="6" width="9.5703125" style="5" customWidth="1"/>
    <col min="7" max="7" width="7" style="5" customWidth="1"/>
    <col min="8" max="8" width="8" style="5" customWidth="1"/>
    <col min="9" max="9" width="9.5703125" style="5" customWidth="1"/>
    <col min="10" max="10" width="7" style="5" customWidth="1"/>
    <col min="11" max="11" width="8" style="5" customWidth="1"/>
    <col min="12" max="13" width="9.5703125" style="5" customWidth="1"/>
    <col min="14" max="15" width="6.85546875" style="5" customWidth="1"/>
    <col min="16" max="16" width="8.28515625" style="5" customWidth="1"/>
    <col min="17" max="17" width="8.42578125" style="5" customWidth="1"/>
    <col min="18" max="19" width="9.5703125" style="5" customWidth="1"/>
    <col min="20" max="21" width="9.7109375" style="3" bestFit="1" customWidth="1"/>
    <col min="22" max="22" width="9.28515625" style="3" customWidth="1"/>
    <col min="23" max="23" width="8.5703125" style="7" customWidth="1"/>
    <col min="24" max="24" width="9.28515625" style="3" customWidth="1"/>
    <col min="25" max="25" width="10.5703125" style="7" customWidth="1"/>
    <col min="26" max="26" width="9.5703125" style="3" customWidth="1"/>
    <col min="27" max="46" width="6.42578125" style="3" customWidth="1"/>
    <col min="47" max="47" width="6.42578125" style="7" customWidth="1"/>
    <col min="48" max="49" width="6.42578125" style="3" customWidth="1"/>
    <col min="50" max="50" width="6.42578125" style="7" customWidth="1"/>
    <col min="51" max="52" width="6.42578125" style="3" customWidth="1"/>
    <col min="53" max="53" width="6.42578125" style="7" customWidth="1"/>
  </cols>
  <sheetData>
    <row r="1" spans="1:53" x14ac:dyDescent="0.25">
      <c r="W1" s="19" t="s">
        <v>18</v>
      </c>
      <c r="X1" s="19"/>
      <c r="Y1" s="19" t="s">
        <v>19</v>
      </c>
      <c r="Z1" s="19"/>
    </row>
    <row r="2" spans="1:53" s="4" customFormat="1" ht="15" customHeight="1" x14ac:dyDescent="0.25">
      <c r="A2" s="1"/>
      <c r="B2" s="31" t="s">
        <v>0</v>
      </c>
      <c r="C2" s="32" t="s">
        <v>16</v>
      </c>
      <c r="D2" s="28" t="s">
        <v>21</v>
      </c>
      <c r="E2" s="28"/>
      <c r="F2" s="28"/>
      <c r="G2" s="29" t="s">
        <v>22</v>
      </c>
      <c r="H2" s="29"/>
      <c r="I2" s="29"/>
      <c r="J2" s="26" t="s">
        <v>23</v>
      </c>
      <c r="K2" s="26"/>
      <c r="L2" s="26"/>
      <c r="M2" s="25" t="s">
        <v>2</v>
      </c>
      <c r="N2" s="24" t="s">
        <v>25</v>
      </c>
      <c r="O2" s="24"/>
      <c r="P2" s="24"/>
      <c r="Q2" s="24"/>
      <c r="R2" s="24"/>
      <c r="S2" s="24"/>
      <c r="T2" s="27" t="s">
        <v>8</v>
      </c>
      <c r="U2" s="27"/>
      <c r="V2" s="18" t="s">
        <v>9</v>
      </c>
      <c r="W2" s="20" t="s">
        <v>10</v>
      </c>
      <c r="X2" s="18" t="s">
        <v>28</v>
      </c>
      <c r="Y2" s="20" t="s">
        <v>26</v>
      </c>
      <c r="Z2" s="18" t="s">
        <v>27</v>
      </c>
      <c r="AA2" s="23" t="s">
        <v>13</v>
      </c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/>
      <c r="AQ2" s="23"/>
      <c r="AR2" s="23"/>
      <c r="AS2" s="23"/>
      <c r="AT2" s="23"/>
      <c r="AU2" s="23"/>
      <c r="AV2" s="23"/>
      <c r="AW2" s="23"/>
      <c r="AX2" s="23"/>
      <c r="AY2" s="23"/>
      <c r="AZ2" s="23"/>
      <c r="BA2" s="23"/>
    </row>
    <row r="3" spans="1:53" s="4" customFormat="1" ht="14.45" customHeight="1" x14ac:dyDescent="0.25">
      <c r="A3" s="1"/>
      <c r="B3" s="31"/>
      <c r="C3" s="33"/>
      <c r="D3" s="20" t="s">
        <v>1</v>
      </c>
      <c r="E3" s="20" t="s">
        <v>24</v>
      </c>
      <c r="F3" s="25" t="s">
        <v>49</v>
      </c>
      <c r="G3" s="20" t="s">
        <v>1</v>
      </c>
      <c r="H3" s="20" t="s">
        <v>24</v>
      </c>
      <c r="I3" s="30" t="s">
        <v>50</v>
      </c>
      <c r="J3" s="20" t="s">
        <v>1</v>
      </c>
      <c r="K3" s="20" t="s">
        <v>24</v>
      </c>
      <c r="L3" s="26" t="s">
        <v>17</v>
      </c>
      <c r="M3" s="25"/>
      <c r="N3" s="20" t="s">
        <v>3</v>
      </c>
      <c r="O3" s="20" t="s">
        <v>4</v>
      </c>
      <c r="P3" s="20" t="s">
        <v>6</v>
      </c>
      <c r="Q3" s="20" t="s">
        <v>5</v>
      </c>
      <c r="R3" s="21" t="s">
        <v>51</v>
      </c>
      <c r="S3" s="21" t="s">
        <v>52</v>
      </c>
      <c r="T3" s="1">
        <v>1</v>
      </c>
      <c r="U3" s="1">
        <v>2</v>
      </c>
      <c r="V3" s="18"/>
      <c r="W3" s="22"/>
      <c r="X3" s="18"/>
      <c r="Y3" s="22"/>
      <c r="Z3" s="18"/>
      <c r="AA3" s="18">
        <v>1</v>
      </c>
      <c r="AB3" s="18"/>
      <c r="AC3" s="18"/>
      <c r="AD3" s="18">
        <v>2</v>
      </c>
      <c r="AE3" s="18"/>
      <c r="AF3" s="18"/>
      <c r="AG3" s="18">
        <v>3</v>
      </c>
      <c r="AH3" s="18"/>
      <c r="AI3" s="18"/>
      <c r="AJ3" s="18">
        <v>4</v>
      </c>
      <c r="AK3" s="18"/>
      <c r="AL3" s="18"/>
      <c r="AM3" s="18">
        <v>5</v>
      </c>
      <c r="AN3" s="18"/>
      <c r="AO3" s="18"/>
      <c r="AP3" s="18">
        <v>6</v>
      </c>
      <c r="AQ3" s="18"/>
      <c r="AR3" s="18"/>
      <c r="AS3" s="18">
        <v>7</v>
      </c>
      <c r="AT3" s="18"/>
      <c r="AU3" s="18"/>
      <c r="AV3" s="18">
        <v>8</v>
      </c>
      <c r="AW3" s="18"/>
      <c r="AX3" s="18"/>
      <c r="AY3" s="18">
        <v>9</v>
      </c>
      <c r="AZ3" s="18"/>
      <c r="BA3" s="18"/>
    </row>
    <row r="4" spans="1:53" s="4" customFormat="1" ht="25.9" customHeight="1" x14ac:dyDescent="0.25">
      <c r="A4" s="9" t="s">
        <v>20</v>
      </c>
      <c r="B4" s="31"/>
      <c r="C4" s="33"/>
      <c r="D4" s="20"/>
      <c r="E4" s="20"/>
      <c r="F4" s="25"/>
      <c r="G4" s="20"/>
      <c r="H4" s="20"/>
      <c r="I4" s="30"/>
      <c r="J4" s="20"/>
      <c r="K4" s="20"/>
      <c r="L4" s="26"/>
      <c r="M4" s="25"/>
      <c r="N4" s="20"/>
      <c r="O4" s="20"/>
      <c r="P4" s="20"/>
      <c r="Q4" s="20"/>
      <c r="R4" s="21"/>
      <c r="S4" s="21"/>
      <c r="T4" s="1" t="s">
        <v>7</v>
      </c>
      <c r="U4" s="1" t="s">
        <v>7</v>
      </c>
      <c r="V4" s="18"/>
      <c r="W4" s="22"/>
      <c r="X4" s="18"/>
      <c r="Y4" s="22"/>
      <c r="Z4" s="18"/>
      <c r="AA4" s="9" t="s">
        <v>7</v>
      </c>
      <c r="AB4" s="10" t="s">
        <v>12</v>
      </c>
      <c r="AC4" s="9" t="s">
        <v>11</v>
      </c>
      <c r="AD4" s="9" t="s">
        <v>7</v>
      </c>
      <c r="AE4" s="10" t="s">
        <v>12</v>
      </c>
      <c r="AF4" s="9" t="s">
        <v>11</v>
      </c>
      <c r="AG4" s="9" t="s">
        <v>7</v>
      </c>
      <c r="AH4" s="10" t="s">
        <v>12</v>
      </c>
      <c r="AI4" s="9" t="s">
        <v>11</v>
      </c>
      <c r="AJ4" s="9" t="s">
        <v>7</v>
      </c>
      <c r="AK4" s="10" t="s">
        <v>12</v>
      </c>
      <c r="AL4" s="9" t="s">
        <v>11</v>
      </c>
      <c r="AM4" s="9" t="s">
        <v>7</v>
      </c>
      <c r="AN4" s="10" t="s">
        <v>12</v>
      </c>
      <c r="AO4" s="9" t="s">
        <v>11</v>
      </c>
      <c r="AP4" s="9" t="s">
        <v>7</v>
      </c>
      <c r="AQ4" s="10" t="s">
        <v>12</v>
      </c>
      <c r="AR4" s="9" t="s">
        <v>11</v>
      </c>
      <c r="AS4" s="9" t="s">
        <v>7</v>
      </c>
      <c r="AT4" s="10" t="s">
        <v>12</v>
      </c>
      <c r="AU4" s="10" t="s">
        <v>11</v>
      </c>
      <c r="AV4" s="9" t="s">
        <v>7</v>
      </c>
      <c r="AW4" s="10" t="s">
        <v>12</v>
      </c>
      <c r="AX4" s="10" t="s">
        <v>11</v>
      </c>
      <c r="AY4" s="9" t="s">
        <v>7</v>
      </c>
      <c r="AZ4" s="10" t="s">
        <v>12</v>
      </c>
      <c r="BA4" s="10" t="s">
        <v>11</v>
      </c>
    </row>
    <row r="5" spans="1:53" x14ac:dyDescent="0.25">
      <c r="A5" s="3">
        <v>0</v>
      </c>
      <c r="B5" s="34" t="s">
        <v>14</v>
      </c>
      <c r="C5" s="35">
        <v>0</v>
      </c>
      <c r="D5"/>
      <c r="E5"/>
      <c r="F5">
        <v>1.37</v>
      </c>
      <c r="G5"/>
      <c r="H5"/>
      <c r="I5">
        <v>2.2599999999999998</v>
      </c>
      <c r="J5"/>
      <c r="K5"/>
      <c r="L5">
        <v>19.21</v>
      </c>
      <c r="M5" s="13" t="s">
        <v>29</v>
      </c>
      <c r="N5"/>
      <c r="O5"/>
      <c r="P5"/>
      <c r="Q5"/>
      <c r="R5" s="13" t="s">
        <v>29</v>
      </c>
      <c r="S5" s="13" t="s">
        <v>29</v>
      </c>
      <c r="T5" t="s">
        <v>15</v>
      </c>
      <c r="U5" t="s">
        <v>15</v>
      </c>
      <c r="V5">
        <v>0</v>
      </c>
      <c r="W5">
        <v>0</v>
      </c>
      <c r="X5">
        <v>0</v>
      </c>
      <c r="Y5">
        <v>0</v>
      </c>
      <c r="Z5">
        <v>0</v>
      </c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</row>
    <row r="6" spans="1:53" x14ac:dyDescent="0.25">
      <c r="A6" s="3">
        <v>1</v>
      </c>
      <c r="B6" s="34" t="s">
        <v>59</v>
      </c>
      <c r="C6" s="35">
        <f>MIN(F5,I5,L5:M5,R5:S5)</f>
        <v>1.37</v>
      </c>
      <c r="D6">
        <v>0.88</v>
      </c>
      <c r="E6">
        <f>TRUNC(-5*LN(1-D6),2)</f>
        <v>10.6</v>
      </c>
      <c r="F6">
        <f>E6+C6</f>
        <v>11.969999999999999</v>
      </c>
      <c r="G6"/>
      <c r="H6"/>
      <c r="I6">
        <f>I5</f>
        <v>2.2599999999999998</v>
      </c>
      <c r="J6"/>
      <c r="K6"/>
      <c r="L6">
        <f>L5</f>
        <v>19.21</v>
      </c>
      <c r="M6"/>
      <c r="N6">
        <v>0.1</v>
      </c>
      <c r="O6">
        <v>0.5</v>
      </c>
      <c r="P6">
        <f>(SQRT(-2*LN(N6))*COS(2*PI()*O6))*3+11</f>
        <v>4.5621019211319584</v>
      </c>
      <c r="Q6">
        <f>(SQRT(-2*LN(N6))*SIN(2*PI()*O6))*3+11</f>
        <v>11</v>
      </c>
      <c r="R6">
        <f>P6+C6</f>
        <v>5.9321019211319586</v>
      </c>
      <c r="S6"/>
      <c r="T6" t="s">
        <v>53</v>
      </c>
      <c r="U6" t="s">
        <v>15</v>
      </c>
      <c r="V6">
        <v>0</v>
      </c>
      <c r="W6">
        <v>0</v>
      </c>
      <c r="X6">
        <v>1</v>
      </c>
      <c r="Y6">
        <v>0</v>
      </c>
      <c r="Z6">
        <v>0</v>
      </c>
      <c r="AA6" t="s">
        <v>60</v>
      </c>
      <c r="AB6" t="s">
        <v>61</v>
      </c>
      <c r="AC6">
        <f>C6</f>
        <v>1.37</v>
      </c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</row>
    <row r="7" spans="1:53" x14ac:dyDescent="0.25">
      <c r="A7" s="3">
        <v>2</v>
      </c>
      <c r="B7" s="34" t="s">
        <v>62</v>
      </c>
      <c r="C7" s="35">
        <f>MIN(F6,I6,L6:M6,R6:S6)</f>
        <v>2.2599999999999998</v>
      </c>
      <c r="D7"/>
      <c r="E7"/>
      <c r="F7">
        <f>F6</f>
        <v>11.969999999999999</v>
      </c>
      <c r="G7">
        <v>0.28999999999999998</v>
      </c>
      <c r="H7">
        <f>TRUNC(-15*LN(1-G7),2)</f>
        <v>5.13</v>
      </c>
      <c r="I7">
        <f>H7+C7</f>
        <v>7.39</v>
      </c>
      <c r="J7"/>
      <c r="K7"/>
      <c r="L7">
        <f>L6</f>
        <v>19.21</v>
      </c>
      <c r="M7"/>
      <c r="N7"/>
      <c r="O7"/>
      <c r="P7"/>
      <c r="Q7">
        <f>Q6</f>
        <v>11</v>
      </c>
      <c r="R7">
        <f>R6</f>
        <v>5.9321019211319586</v>
      </c>
      <c r="S7">
        <f>Q7+C7</f>
        <v>13.26</v>
      </c>
      <c r="T7" t="s">
        <v>53</v>
      </c>
      <c r="U7" t="s">
        <v>53</v>
      </c>
      <c r="V7">
        <v>0</v>
      </c>
      <c r="W7">
        <v>0</v>
      </c>
      <c r="X7">
        <v>2</v>
      </c>
      <c r="Y7">
        <v>0</v>
      </c>
      <c r="Z7">
        <v>0</v>
      </c>
      <c r="AA7" t="s">
        <v>60</v>
      </c>
      <c r="AB7" t="s">
        <v>61</v>
      </c>
      <c r="AC7">
        <f>AC6</f>
        <v>1.37</v>
      </c>
      <c r="AD7" t="s">
        <v>63</v>
      </c>
      <c r="AE7" t="s">
        <v>64</v>
      </c>
      <c r="AF7">
        <f>C7</f>
        <v>2.2599999999999998</v>
      </c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</row>
    <row r="8" spans="1:53" x14ac:dyDescent="0.25">
      <c r="A8" s="3">
        <v>3</v>
      </c>
      <c r="B8" s="34" t="s">
        <v>57</v>
      </c>
      <c r="C8" s="35">
        <f>MIN(F7,I7,L7:M7,R7:S7)</f>
        <v>5.9321019211319586</v>
      </c>
      <c r="D8"/>
      <c r="E8"/>
      <c r="F8">
        <f>F7</f>
        <v>11.969999999999999</v>
      </c>
      <c r="G8"/>
      <c r="H8"/>
      <c r="I8">
        <f>I7</f>
        <v>7.39</v>
      </c>
      <c r="J8"/>
      <c r="K8"/>
      <c r="L8">
        <f>L7</f>
        <v>19.21</v>
      </c>
      <c r="M8"/>
      <c r="N8"/>
      <c r="O8"/>
      <c r="P8"/>
      <c r="Q8"/>
      <c r="R8"/>
      <c r="S8">
        <f>(Q7-(C8-C7))/2+C8</f>
        <v>9.5960509605659787</v>
      </c>
      <c r="T8" t="s">
        <v>65</v>
      </c>
      <c r="U8" t="s">
        <v>53</v>
      </c>
      <c r="V8">
        <v>0</v>
      </c>
      <c r="W8">
        <v>0</v>
      </c>
      <c r="X8">
        <v>2</v>
      </c>
      <c r="Y8">
        <f>C8-AC7</f>
        <v>4.5621019211319584</v>
      </c>
      <c r="Z8">
        <v>1</v>
      </c>
      <c r="AA8" s="36"/>
      <c r="AB8" s="36"/>
      <c r="AC8" s="36"/>
      <c r="AD8" t="s">
        <v>63</v>
      </c>
      <c r="AE8" t="s">
        <v>64</v>
      </c>
      <c r="AF8">
        <f>AF7</f>
        <v>2.2599999999999998</v>
      </c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</row>
    <row r="9" spans="1:53" x14ac:dyDescent="0.25">
      <c r="B9" s="34"/>
      <c r="C9" s="35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</row>
    <row r="10" spans="1:53" x14ac:dyDescent="0.25">
      <c r="B10" s="34"/>
      <c r="C10" s="35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</row>
    <row r="11" spans="1:53" x14ac:dyDescent="0.25"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</row>
    <row r="12" spans="1:53" x14ac:dyDescent="0.25"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</row>
    <row r="13" spans="1:53" x14ac:dyDescent="0.25">
      <c r="A13" s="14" t="s">
        <v>30</v>
      </c>
      <c r="F13" s="8"/>
      <c r="H13" s="3"/>
      <c r="M13" s="6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</row>
    <row r="14" spans="1:53" x14ac:dyDescent="0.25">
      <c r="A14" s="14" t="s">
        <v>31</v>
      </c>
      <c r="C14" s="5" t="s">
        <v>45</v>
      </c>
      <c r="D14">
        <v>0.88</v>
      </c>
      <c r="F14" s="5" t="s">
        <v>42</v>
      </c>
      <c r="G14">
        <v>0.28999999999999998</v>
      </c>
      <c r="H14" s="3"/>
      <c r="I14" s="5" t="s">
        <v>32</v>
      </c>
      <c r="J14">
        <v>0.17</v>
      </c>
      <c r="M14" s="5" t="s">
        <v>33</v>
      </c>
      <c r="N14">
        <v>0.1</v>
      </c>
      <c r="O14">
        <v>0.5</v>
      </c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</row>
    <row r="15" spans="1:53" x14ac:dyDescent="0.25">
      <c r="A15" s="14" t="s">
        <v>34</v>
      </c>
      <c r="C15" s="5" t="s">
        <v>46</v>
      </c>
      <c r="D15">
        <v>0.98</v>
      </c>
      <c r="F15" s="5" t="s">
        <v>43</v>
      </c>
      <c r="G15">
        <v>0.67</v>
      </c>
      <c r="H15" s="3"/>
      <c r="I15" s="5" t="s">
        <v>35</v>
      </c>
      <c r="J15">
        <v>0.56000000000000005</v>
      </c>
      <c r="M15" s="5" t="s">
        <v>36</v>
      </c>
      <c r="N15">
        <v>0.21</v>
      </c>
      <c r="O15">
        <v>0.06</v>
      </c>
      <c r="Q15"/>
      <c r="R15"/>
      <c r="S15"/>
      <c r="T15" s="12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</row>
    <row r="16" spans="1:53" x14ac:dyDescent="0.25">
      <c r="A16" s="14" t="s">
        <v>37</v>
      </c>
      <c r="C16" s="5" t="s">
        <v>47</v>
      </c>
      <c r="D16">
        <v>0.34</v>
      </c>
      <c r="F16" s="5" t="s">
        <v>44</v>
      </c>
      <c r="G16">
        <v>0.75</v>
      </c>
      <c r="H16" s="3"/>
      <c r="I16" s="5" t="s">
        <v>38</v>
      </c>
      <c r="J16">
        <v>0.33</v>
      </c>
      <c r="M16" s="5" t="s">
        <v>39</v>
      </c>
      <c r="N16">
        <v>0.08</v>
      </c>
      <c r="O16">
        <v>0.89</v>
      </c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</row>
    <row r="17" spans="1:53" x14ac:dyDescent="0.25">
      <c r="A17" s="11" t="s">
        <v>40</v>
      </c>
      <c r="H17" s="3"/>
      <c r="M17" s="6"/>
      <c r="N17"/>
      <c r="O17"/>
      <c r="Q17"/>
      <c r="R17"/>
      <c r="S17" s="12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</row>
    <row r="18" spans="1:53" x14ac:dyDescent="0.25">
      <c r="D18"/>
      <c r="F18" s="8" t="s">
        <v>41</v>
      </c>
      <c r="H18" s="3"/>
      <c r="I18" s="15"/>
      <c r="J18"/>
      <c r="M18" s="6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</row>
    <row r="19" spans="1:53" x14ac:dyDescent="0.25">
      <c r="C19"/>
      <c r="D19"/>
      <c r="E19"/>
      <c r="F19"/>
      <c r="G19"/>
      <c r="H19" s="3"/>
      <c r="I19"/>
      <c r="J19"/>
      <c r="K19"/>
      <c r="L19"/>
      <c r="M19"/>
      <c r="N19"/>
      <c r="O19"/>
      <c r="P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</row>
    <row r="20" spans="1:53" x14ac:dyDescent="0.25">
      <c r="E20"/>
      <c r="F20" s="16" t="s">
        <v>48</v>
      </c>
      <c r="G20" s="2"/>
      <c r="H20" s="2"/>
      <c r="I20" s="17"/>
      <c r="J20" s="2"/>
      <c r="K20" s="2"/>
      <c r="L20" s="2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</row>
    <row r="21" spans="1:53" x14ac:dyDescent="0.25"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</row>
    <row r="22" spans="1:53" x14ac:dyDescent="0.25"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</row>
    <row r="23" spans="1:53" x14ac:dyDescent="0.25"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</row>
    <row r="24" spans="1:53" x14ac:dyDescent="0.25">
      <c r="C24" t="s">
        <v>54</v>
      </c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</row>
    <row r="25" spans="1:53" x14ac:dyDescent="0.25">
      <c r="C25" s="5" t="s">
        <v>55</v>
      </c>
      <c r="I25" s="7"/>
      <c r="J25"/>
      <c r="U25" s="7"/>
      <c r="V25" s="7"/>
      <c r="Z25" s="7"/>
      <c r="AB25" s="7"/>
      <c r="AC25" s="7"/>
      <c r="AE25" s="7"/>
      <c r="AG25" s="7"/>
      <c r="AI25" s="7"/>
      <c r="AK25" s="7"/>
      <c r="AM25" s="7"/>
      <c r="AO25" s="7"/>
      <c r="AP25" s="7"/>
      <c r="AR25" s="7"/>
      <c r="AT25" s="7"/>
      <c r="AV25" s="7"/>
    </row>
    <row r="26" spans="1:53" x14ac:dyDescent="0.25">
      <c r="C26" s="5" t="s">
        <v>56</v>
      </c>
      <c r="J26"/>
    </row>
    <row r="27" spans="1:53" x14ac:dyDescent="0.25">
      <c r="J27"/>
      <c r="W27" s="19"/>
      <c r="X27" s="19"/>
      <c r="Y27" s="19"/>
      <c r="Z27" s="19"/>
    </row>
    <row r="30" spans="1:53" x14ac:dyDescent="0.25">
      <c r="A30" s="1"/>
      <c r="B30" s="41" t="s">
        <v>0</v>
      </c>
      <c r="C30" s="32" t="s">
        <v>16</v>
      </c>
      <c r="D30" s="28" t="s">
        <v>21</v>
      </c>
      <c r="E30" s="28"/>
      <c r="F30" s="28"/>
      <c r="G30" s="29" t="s">
        <v>22</v>
      </c>
      <c r="H30" s="29"/>
      <c r="I30" s="29"/>
      <c r="J30" s="26" t="s">
        <v>23</v>
      </c>
      <c r="K30" s="26"/>
      <c r="L30" s="26"/>
      <c r="M30" s="25" t="s">
        <v>2</v>
      </c>
      <c r="N30" s="24" t="s">
        <v>25</v>
      </c>
      <c r="O30" s="24"/>
      <c r="P30" s="24"/>
      <c r="Q30" s="24"/>
      <c r="R30" s="24"/>
      <c r="S30" s="24"/>
      <c r="T30" s="27" t="s">
        <v>8</v>
      </c>
      <c r="U30" s="27"/>
      <c r="V30" s="18" t="s">
        <v>9</v>
      </c>
      <c r="W30" s="20" t="s">
        <v>10</v>
      </c>
      <c r="X30" s="18" t="s">
        <v>28</v>
      </c>
      <c r="Y30" s="20" t="s">
        <v>26</v>
      </c>
      <c r="Z30" s="18" t="s">
        <v>27</v>
      </c>
      <c r="AA30" s="23" t="s">
        <v>13</v>
      </c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3"/>
      <c r="AM30" s="23"/>
      <c r="AN30" s="23"/>
      <c r="AO30" s="23"/>
      <c r="AP30" s="23"/>
      <c r="AQ30" s="23"/>
      <c r="AR30" s="23"/>
      <c r="AS30" s="23"/>
      <c r="AT30" s="23"/>
      <c r="AU30" s="23"/>
      <c r="AV30" s="23"/>
      <c r="AW30" s="23"/>
      <c r="AX30" s="23"/>
      <c r="AY30" s="23"/>
      <c r="AZ30" s="23"/>
      <c r="BA30" s="23"/>
    </row>
    <row r="31" spans="1:53" x14ac:dyDescent="0.25">
      <c r="A31" s="1"/>
      <c r="B31" s="41"/>
      <c r="C31" s="33"/>
      <c r="D31" s="20" t="s">
        <v>1</v>
      </c>
      <c r="E31" s="20" t="s">
        <v>24</v>
      </c>
      <c r="F31" s="40" t="s">
        <v>49</v>
      </c>
      <c r="G31" s="20" t="s">
        <v>1</v>
      </c>
      <c r="H31" s="20" t="s">
        <v>24</v>
      </c>
      <c r="I31" s="40" t="s">
        <v>50</v>
      </c>
      <c r="J31" s="20" t="s">
        <v>1</v>
      </c>
      <c r="K31" s="20" t="s">
        <v>24</v>
      </c>
      <c r="L31" s="40" t="s">
        <v>17</v>
      </c>
      <c r="M31" s="25"/>
      <c r="N31" s="20" t="s">
        <v>3</v>
      </c>
      <c r="O31" s="20" t="s">
        <v>4</v>
      </c>
      <c r="P31" s="20" t="s">
        <v>6</v>
      </c>
      <c r="Q31" s="20" t="s">
        <v>5</v>
      </c>
      <c r="R31" s="21" t="s">
        <v>51</v>
      </c>
      <c r="S31" s="21" t="s">
        <v>52</v>
      </c>
      <c r="T31" s="1">
        <v>1</v>
      </c>
      <c r="U31" s="1">
        <v>2</v>
      </c>
      <c r="V31" s="18"/>
      <c r="W31" s="22"/>
      <c r="X31" s="18"/>
      <c r="Y31" s="22"/>
      <c r="Z31" s="18"/>
      <c r="AA31" s="18">
        <v>1</v>
      </c>
      <c r="AB31" s="18"/>
      <c r="AC31" s="18"/>
      <c r="AD31" s="18">
        <v>2</v>
      </c>
      <c r="AE31" s="18"/>
      <c r="AF31" s="18"/>
      <c r="AG31" s="18">
        <v>3</v>
      </c>
      <c r="AH31" s="18"/>
      <c r="AI31" s="18"/>
      <c r="AJ31" s="18">
        <v>4</v>
      </c>
      <c r="AK31" s="18"/>
      <c r="AL31" s="18"/>
      <c r="AM31" s="18">
        <v>5</v>
      </c>
      <c r="AN31" s="18"/>
      <c r="AO31" s="18"/>
      <c r="AP31" s="18">
        <v>6</v>
      </c>
      <c r="AQ31" s="18"/>
      <c r="AR31" s="18"/>
      <c r="AS31" s="18">
        <v>7</v>
      </c>
      <c r="AT31" s="18"/>
      <c r="AU31" s="18"/>
      <c r="AV31" s="18">
        <v>8</v>
      </c>
      <c r="AW31" s="18"/>
      <c r="AX31" s="18"/>
      <c r="AY31" s="18">
        <v>9</v>
      </c>
      <c r="AZ31" s="18"/>
      <c r="BA31" s="18"/>
    </row>
    <row r="32" spans="1:53" ht="45" x14ac:dyDescent="0.25">
      <c r="A32" s="9" t="s">
        <v>20</v>
      </c>
      <c r="B32" s="41"/>
      <c r="C32" s="33"/>
      <c r="D32" s="20"/>
      <c r="E32" s="20"/>
      <c r="F32" s="40"/>
      <c r="G32" s="20"/>
      <c r="H32" s="20"/>
      <c r="I32" s="40"/>
      <c r="J32" s="20"/>
      <c r="K32" s="20"/>
      <c r="L32" s="40"/>
      <c r="M32" s="25"/>
      <c r="N32" s="20"/>
      <c r="O32" s="20"/>
      <c r="P32" s="20"/>
      <c r="Q32" s="20"/>
      <c r="R32" s="21"/>
      <c r="S32" s="21"/>
      <c r="T32" s="1" t="s">
        <v>7</v>
      </c>
      <c r="U32" s="1" t="s">
        <v>7</v>
      </c>
      <c r="V32" s="18"/>
      <c r="W32" s="22"/>
      <c r="X32" s="18"/>
      <c r="Y32" s="22"/>
      <c r="Z32" s="18"/>
      <c r="AA32" s="9" t="s">
        <v>7</v>
      </c>
      <c r="AB32" s="10" t="s">
        <v>12</v>
      </c>
      <c r="AC32" s="9" t="s">
        <v>11</v>
      </c>
      <c r="AD32" s="9" t="s">
        <v>7</v>
      </c>
      <c r="AE32" s="10" t="s">
        <v>12</v>
      </c>
      <c r="AF32" s="9" t="s">
        <v>11</v>
      </c>
      <c r="AG32" s="9" t="s">
        <v>7</v>
      </c>
      <c r="AH32" s="10" t="s">
        <v>12</v>
      </c>
      <c r="AI32" s="9" t="s">
        <v>11</v>
      </c>
      <c r="AJ32" s="9" t="s">
        <v>7</v>
      </c>
      <c r="AK32" s="10" t="s">
        <v>12</v>
      </c>
      <c r="AL32" s="9" t="s">
        <v>11</v>
      </c>
      <c r="AM32" s="9" t="s">
        <v>7</v>
      </c>
      <c r="AN32" s="10" t="s">
        <v>12</v>
      </c>
      <c r="AO32" s="9" t="s">
        <v>11</v>
      </c>
      <c r="AP32" s="9" t="s">
        <v>7</v>
      </c>
      <c r="AQ32" s="10" t="s">
        <v>12</v>
      </c>
      <c r="AR32" s="9" t="s">
        <v>11</v>
      </c>
      <c r="AS32" s="9" t="s">
        <v>7</v>
      </c>
      <c r="AT32" s="10" t="s">
        <v>12</v>
      </c>
      <c r="AU32" s="10" t="s">
        <v>11</v>
      </c>
      <c r="AV32" s="9" t="s">
        <v>7</v>
      </c>
      <c r="AW32" s="10" t="s">
        <v>12</v>
      </c>
      <c r="AX32" s="10" t="s">
        <v>11</v>
      </c>
      <c r="AY32" s="9" t="s">
        <v>7</v>
      </c>
      <c r="AZ32" s="10" t="s">
        <v>12</v>
      </c>
      <c r="BA32" s="10" t="s">
        <v>11</v>
      </c>
    </row>
    <row r="33" spans="1:53" x14ac:dyDescent="0.25">
      <c r="B33" s="38"/>
      <c r="C33" s="35"/>
      <c r="D33"/>
      <c r="E33"/>
      <c r="F33" s="37"/>
      <c r="G33"/>
      <c r="H33"/>
      <c r="I33" s="37"/>
      <c r="J33"/>
      <c r="K33"/>
      <c r="L33" s="37"/>
      <c r="M33" s="37"/>
      <c r="N33"/>
      <c r="O33"/>
      <c r="P33"/>
      <c r="Q33"/>
      <c r="R33" s="37"/>
      <c r="S33" s="37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</row>
    <row r="34" spans="1:53" x14ac:dyDescent="0.25">
      <c r="B34" s="38"/>
      <c r="C34" s="35"/>
      <c r="D34"/>
      <c r="E34"/>
      <c r="F34" s="37"/>
      <c r="G34"/>
      <c r="H34"/>
      <c r="I34" s="37"/>
      <c r="J34"/>
      <c r="K34"/>
      <c r="L34" s="37"/>
      <c r="M34" s="37"/>
      <c r="N34"/>
      <c r="O34"/>
      <c r="P34"/>
      <c r="Q34"/>
      <c r="R34" s="37"/>
      <c r="S34" s="37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</row>
    <row r="35" spans="1:53" x14ac:dyDescent="0.25">
      <c r="B35" s="38"/>
      <c r="C35" s="35"/>
      <c r="D35"/>
      <c r="E35"/>
      <c r="F35" s="37"/>
      <c r="G35"/>
      <c r="H35"/>
      <c r="I35" s="37"/>
      <c r="J35"/>
      <c r="K35"/>
      <c r="L35" s="37"/>
      <c r="M35" s="37"/>
      <c r="N35"/>
      <c r="O35"/>
      <c r="P35"/>
      <c r="Q35"/>
      <c r="R35" s="37"/>
      <c r="S35" s="37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</row>
    <row r="36" spans="1:53" x14ac:dyDescent="0.25">
      <c r="B36" s="38"/>
      <c r="C36" s="35"/>
      <c r="D36"/>
      <c r="E36"/>
      <c r="F36" s="37"/>
      <c r="G36"/>
      <c r="H36"/>
      <c r="I36" s="37"/>
      <c r="J36"/>
      <c r="K36"/>
      <c r="L36" s="37"/>
      <c r="M36" s="37"/>
      <c r="N36"/>
      <c r="O36"/>
      <c r="P36"/>
      <c r="Q36"/>
      <c r="R36" s="37"/>
      <c r="S36" s="37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</row>
    <row r="37" spans="1:53" x14ac:dyDescent="0.25">
      <c r="B37" s="38"/>
      <c r="C37" s="35"/>
      <c r="D37"/>
      <c r="E37"/>
      <c r="F37" s="37"/>
      <c r="G37"/>
      <c r="H37"/>
      <c r="I37" s="37"/>
      <c r="J37"/>
      <c r="K37"/>
      <c r="L37" s="37"/>
      <c r="M37" s="37"/>
      <c r="N37"/>
      <c r="O37"/>
      <c r="P37"/>
      <c r="Q37"/>
      <c r="R37" s="37"/>
      <c r="S37" s="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</row>
    <row r="38" spans="1:53" x14ac:dyDescent="0.25">
      <c r="B38" s="38"/>
      <c r="C38" s="35"/>
      <c r="D38"/>
      <c r="E38"/>
      <c r="F38" s="37"/>
      <c r="G38"/>
      <c r="H38"/>
      <c r="I38" s="37"/>
      <c r="J38"/>
      <c r="K38"/>
      <c r="L38" s="37"/>
      <c r="M38" s="37"/>
      <c r="N38"/>
      <c r="O38"/>
      <c r="P38"/>
      <c r="Q38"/>
      <c r="R38" s="37"/>
      <c r="S38" s="37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</row>
    <row r="39" spans="1:53" x14ac:dyDescent="0.25">
      <c r="B39" s="38"/>
      <c r="C39" s="35"/>
      <c r="D39"/>
      <c r="E39"/>
      <c r="F39" s="37"/>
      <c r="G39"/>
      <c r="H39"/>
      <c r="I39" s="37"/>
      <c r="J39"/>
      <c r="K39"/>
      <c r="L39" s="37"/>
      <c r="M39" s="37"/>
      <c r="N39"/>
      <c r="O39"/>
      <c r="P39"/>
      <c r="Q39"/>
      <c r="R39" s="37"/>
      <c r="S39" s="37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</row>
    <row r="40" spans="1:53" x14ac:dyDescent="0.25">
      <c r="B40" s="38"/>
      <c r="C40" s="35"/>
      <c r="D40"/>
      <c r="E40"/>
      <c r="F40" s="37"/>
      <c r="G40"/>
      <c r="H40"/>
      <c r="I40" s="37"/>
      <c r="J40"/>
      <c r="K40"/>
      <c r="L40" s="37"/>
      <c r="M40" s="37"/>
      <c r="N40"/>
      <c r="O40"/>
      <c r="P40"/>
      <c r="Q40"/>
      <c r="R40" s="37"/>
      <c r="S40" s="37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</row>
    <row r="41" spans="1:53" x14ac:dyDescent="0.25">
      <c r="B41" s="38"/>
      <c r="C41" s="35"/>
      <c r="D41"/>
      <c r="E41"/>
      <c r="F41" s="37"/>
      <c r="G41"/>
      <c r="H41"/>
      <c r="I41" s="37"/>
      <c r="J41"/>
      <c r="K41"/>
      <c r="L41" s="37"/>
      <c r="M41" s="37"/>
      <c r="N41"/>
      <c r="O41"/>
      <c r="P41"/>
      <c r="Q41"/>
      <c r="R41" s="37"/>
      <c r="S41" s="37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</row>
    <row r="42" spans="1:53" x14ac:dyDescent="0.25">
      <c r="B42" s="38"/>
      <c r="C42" s="35"/>
      <c r="D42"/>
      <c r="E42"/>
      <c r="F42" s="37"/>
      <c r="G42"/>
      <c r="H42"/>
      <c r="I42" s="37"/>
      <c r="J42"/>
      <c r="K42"/>
      <c r="L42" s="37"/>
      <c r="M42" s="37"/>
      <c r="N42"/>
      <c r="O42"/>
      <c r="P42"/>
      <c r="Q42"/>
      <c r="R42" s="37"/>
      <c r="S42" s="37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</row>
    <row r="43" spans="1:53" x14ac:dyDescent="0.25">
      <c r="A43" s="3">
        <v>10</v>
      </c>
      <c r="B43" s="38" t="s">
        <v>78</v>
      </c>
      <c r="C43" s="35">
        <v>25.21</v>
      </c>
      <c r="D43"/>
      <c r="E43"/>
      <c r="F43" s="37">
        <v>31.53</v>
      </c>
      <c r="G43"/>
      <c r="H43"/>
      <c r="I43" s="37">
        <v>44.8</v>
      </c>
      <c r="J43"/>
      <c r="K43"/>
      <c r="L43" s="37">
        <v>32.25</v>
      </c>
      <c r="M43" s="39" t="s">
        <v>29</v>
      </c>
      <c r="N43" t="s">
        <v>77</v>
      </c>
      <c r="O43" t="s">
        <v>77</v>
      </c>
      <c r="P43">
        <v>16.190000000000001</v>
      </c>
      <c r="Q43">
        <v>6.7</v>
      </c>
      <c r="R43" s="37">
        <v>41.4</v>
      </c>
      <c r="S43" s="37">
        <v>30.5</v>
      </c>
      <c r="T43" t="s">
        <v>69</v>
      </c>
      <c r="U43" t="s">
        <v>76</v>
      </c>
      <c r="V43">
        <v>0</v>
      </c>
      <c r="W43">
        <v>8.98</v>
      </c>
      <c r="X43">
        <v>5</v>
      </c>
      <c r="Y43">
        <v>22.05</v>
      </c>
      <c r="Z43">
        <v>3</v>
      </c>
      <c r="AA43"/>
      <c r="AB43"/>
      <c r="AC43"/>
      <c r="AD43"/>
      <c r="AE43"/>
      <c r="AF43"/>
      <c r="AG43"/>
      <c r="AH43"/>
      <c r="AI43"/>
      <c r="AJ43" t="s">
        <v>75</v>
      </c>
      <c r="AK43" t="s">
        <v>74</v>
      </c>
      <c r="AL43">
        <v>11.97</v>
      </c>
      <c r="AM43" t="s">
        <v>67</v>
      </c>
      <c r="AN43" t="s">
        <v>66</v>
      </c>
      <c r="AO43">
        <v>24.01</v>
      </c>
      <c r="AP43"/>
      <c r="AQ43"/>
      <c r="AR43"/>
      <c r="AS43"/>
      <c r="AT43"/>
      <c r="AU43"/>
      <c r="AV43"/>
      <c r="AW43"/>
      <c r="AX43"/>
      <c r="AY43"/>
      <c r="AZ43"/>
      <c r="BA43"/>
    </row>
    <row r="44" spans="1:53" x14ac:dyDescent="0.25">
      <c r="A44" s="3">
        <v>11</v>
      </c>
      <c r="B44" s="38" t="s">
        <v>73</v>
      </c>
      <c r="C44" s="35">
        <f>MIN(F43,I43,L43:M43,R43:S43)</f>
        <v>30.5</v>
      </c>
      <c r="D44"/>
      <c r="E44"/>
      <c r="F44" s="37">
        <f>F43</f>
        <v>31.53</v>
      </c>
      <c r="G44"/>
      <c r="H44"/>
      <c r="I44" s="37">
        <f>I43</f>
        <v>44.8</v>
      </c>
      <c r="J44"/>
      <c r="K44"/>
      <c r="L44" s="37">
        <f>L43</f>
        <v>32.25</v>
      </c>
      <c r="M44" s="39"/>
      <c r="N44"/>
      <c r="O44"/>
      <c r="P44"/>
      <c r="Q44">
        <f>Q43</f>
        <v>6.7</v>
      </c>
      <c r="R44" s="37">
        <f>(P43-(C44-C43))/2+C44</f>
        <v>35.950000000000003</v>
      </c>
      <c r="S44" s="37"/>
      <c r="T44" t="s">
        <v>69</v>
      </c>
      <c r="U44" t="s">
        <v>65</v>
      </c>
      <c r="V44">
        <v>0</v>
      </c>
      <c r="W44">
        <f>W43</f>
        <v>8.98</v>
      </c>
      <c r="X44">
        <v>5</v>
      </c>
      <c r="Y44">
        <f>Y43+C44-AL43</f>
        <v>40.58</v>
      </c>
      <c r="Z44">
        <v>4</v>
      </c>
      <c r="AA44"/>
      <c r="AB44"/>
      <c r="AC44"/>
      <c r="AD44"/>
      <c r="AE44"/>
      <c r="AF44"/>
      <c r="AG44"/>
      <c r="AH44"/>
      <c r="AI44"/>
      <c r="AJ44" s="36"/>
      <c r="AK44" s="36"/>
      <c r="AL44" s="36"/>
      <c r="AM44" t="s">
        <v>67</v>
      </c>
      <c r="AN44" t="s">
        <v>66</v>
      </c>
      <c r="AO44">
        <f>AO43</f>
        <v>24.01</v>
      </c>
      <c r="AP44"/>
      <c r="AQ44"/>
      <c r="AR44"/>
      <c r="AS44"/>
      <c r="AT44"/>
      <c r="AU44"/>
      <c r="AV44"/>
      <c r="AW44"/>
      <c r="AX44"/>
      <c r="AY44"/>
      <c r="AZ44"/>
      <c r="BA44"/>
    </row>
    <row r="45" spans="1:53" x14ac:dyDescent="0.25">
      <c r="A45" s="3">
        <v>12</v>
      </c>
      <c r="B45" s="38" t="s">
        <v>72</v>
      </c>
      <c r="C45" s="35">
        <f>MIN(F44,I44,L44:M44,R44:S44)</f>
        <v>31.53</v>
      </c>
      <c r="D45">
        <v>0.34</v>
      </c>
      <c r="E45">
        <f>TRUNC(-5*LN(1-D45),2)</f>
        <v>2.0699999999999998</v>
      </c>
      <c r="F45" s="37">
        <f>E45+C45</f>
        <v>33.6</v>
      </c>
      <c r="G45"/>
      <c r="H45"/>
      <c r="I45" s="37">
        <f>I44</f>
        <v>44.8</v>
      </c>
      <c r="J45"/>
      <c r="K45"/>
      <c r="L45" s="37">
        <f>L44</f>
        <v>32.25</v>
      </c>
      <c r="M45" s="37"/>
      <c r="N45"/>
      <c r="O45"/>
      <c r="P45"/>
      <c r="Q45">
        <f>Q44</f>
        <v>6.7</v>
      </c>
      <c r="R45" s="37">
        <f>R44</f>
        <v>35.950000000000003</v>
      </c>
      <c r="S45" s="37"/>
      <c r="T45" t="s">
        <v>69</v>
      </c>
      <c r="U45" t="s">
        <v>65</v>
      </c>
      <c r="V45">
        <v>1</v>
      </c>
      <c r="W45">
        <f>W44</f>
        <v>8.98</v>
      </c>
      <c r="X45">
        <v>5</v>
      </c>
      <c r="Y45">
        <f>Y44</f>
        <v>40.58</v>
      </c>
      <c r="Z45">
        <v>4</v>
      </c>
      <c r="AA45"/>
      <c r="AB45"/>
      <c r="AC45"/>
      <c r="AD45"/>
      <c r="AE45"/>
      <c r="AF45"/>
      <c r="AG45"/>
      <c r="AH45"/>
      <c r="AI45"/>
      <c r="AJ45"/>
      <c r="AK45"/>
      <c r="AL45"/>
      <c r="AM45" t="s">
        <v>67</v>
      </c>
      <c r="AN45" t="s">
        <v>66</v>
      </c>
      <c r="AO45">
        <f>AO44</f>
        <v>24.01</v>
      </c>
      <c r="AP45" t="s">
        <v>71</v>
      </c>
      <c r="AQ45" t="s">
        <v>61</v>
      </c>
      <c r="AR45">
        <f>C45</f>
        <v>31.53</v>
      </c>
      <c r="AS45"/>
      <c r="AT45"/>
      <c r="AU45"/>
      <c r="AV45"/>
      <c r="AW45"/>
      <c r="AX45"/>
      <c r="AY45"/>
      <c r="AZ45"/>
      <c r="BA45"/>
    </row>
    <row r="46" spans="1:53" x14ac:dyDescent="0.25">
      <c r="A46" s="3">
        <v>13</v>
      </c>
      <c r="B46" s="38" t="s">
        <v>70</v>
      </c>
      <c r="C46" s="35">
        <f>MIN(F45,I45,L45:M45,R45:S45)</f>
        <v>32.25</v>
      </c>
      <c r="D46"/>
      <c r="E46"/>
      <c r="F46" s="37">
        <f>F45</f>
        <v>33.6</v>
      </c>
      <c r="G46"/>
      <c r="H46"/>
      <c r="I46" s="37">
        <f>I45</f>
        <v>44.8</v>
      </c>
      <c r="J46">
        <v>0.56000000000000005</v>
      </c>
      <c r="K46">
        <f>TRUNC(-70*LN(1-J46),2)</f>
        <v>57.46</v>
      </c>
      <c r="L46" s="37">
        <f>K46+C46</f>
        <v>89.710000000000008</v>
      </c>
      <c r="M46" s="37">
        <f>C46+6</f>
        <v>38.25</v>
      </c>
      <c r="N46"/>
      <c r="O46"/>
      <c r="P46"/>
      <c r="Q46">
        <f>Q45</f>
        <v>6.7</v>
      </c>
      <c r="R46" s="37">
        <f>(R45-C46)*2+C46</f>
        <v>39.650000000000006</v>
      </c>
      <c r="S46" s="37"/>
      <c r="T46" t="s">
        <v>69</v>
      </c>
      <c r="U46" t="s">
        <v>68</v>
      </c>
      <c r="V46">
        <v>1</v>
      </c>
      <c r="W46">
        <f>W45</f>
        <v>8.98</v>
      </c>
      <c r="X46">
        <v>5</v>
      </c>
      <c r="Y46">
        <f>Y45</f>
        <v>40.58</v>
      </c>
      <c r="Z46">
        <v>4</v>
      </c>
      <c r="AA46"/>
      <c r="AB46"/>
      <c r="AC46"/>
      <c r="AD46"/>
      <c r="AE46"/>
      <c r="AF46"/>
      <c r="AG46"/>
      <c r="AH46"/>
      <c r="AI46"/>
      <c r="AJ46"/>
      <c r="AK46"/>
      <c r="AL46"/>
      <c r="AM46" t="s">
        <v>67</v>
      </c>
      <c r="AN46" t="s">
        <v>66</v>
      </c>
      <c r="AO46">
        <f>AO45</f>
        <v>24.01</v>
      </c>
      <c r="AP46" t="str">
        <f>AP45</f>
        <v>EA</v>
      </c>
      <c r="AQ46" t="s">
        <v>61</v>
      </c>
      <c r="AR46">
        <f>AR45</f>
        <v>31.53</v>
      </c>
      <c r="AS46"/>
      <c r="AT46"/>
      <c r="AU46"/>
      <c r="AV46"/>
      <c r="AW46"/>
      <c r="AX46"/>
      <c r="AY46"/>
      <c r="AZ46"/>
      <c r="BA46"/>
    </row>
    <row r="47" spans="1:53" x14ac:dyDescent="0.25"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>
        <f>P43+C43</f>
        <v>41.400000000000006</v>
      </c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</row>
    <row r="48" spans="1:53" x14ac:dyDescent="0.25"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</row>
    <row r="49" spans="1:53" x14ac:dyDescent="0.25">
      <c r="A49" s="14" t="s">
        <v>30</v>
      </c>
      <c r="F49" s="8"/>
      <c r="H49" s="3"/>
      <c r="M49" s="6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</row>
    <row r="50" spans="1:53" x14ac:dyDescent="0.25">
      <c r="A50" s="14" t="s">
        <v>31</v>
      </c>
      <c r="D50">
        <v>0.34</v>
      </c>
      <c r="G50">
        <v>0.22</v>
      </c>
      <c r="H50" s="3"/>
      <c r="J50">
        <v>0.56000000000000005</v>
      </c>
      <c r="N50">
        <v>0.19</v>
      </c>
      <c r="O50">
        <v>0.91</v>
      </c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</row>
    <row r="51" spans="1:53" x14ac:dyDescent="0.25">
      <c r="A51" s="14" t="s">
        <v>34</v>
      </c>
      <c r="D51">
        <v>0.84</v>
      </c>
      <c r="G51">
        <v>0.16</v>
      </c>
      <c r="H51" s="3"/>
      <c r="J51">
        <v>0.84</v>
      </c>
      <c r="N51">
        <v>0.38</v>
      </c>
      <c r="O51">
        <v>7.0000000000000007E-2</v>
      </c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</row>
    <row r="52" spans="1:53" x14ac:dyDescent="0.25">
      <c r="A52" s="14" t="s">
        <v>37</v>
      </c>
      <c r="D52" s="5">
        <v>0.61</v>
      </c>
      <c r="G52">
        <v>0.37</v>
      </c>
      <c r="H52" s="3"/>
      <c r="J52" s="5">
        <v>0.03</v>
      </c>
      <c r="N52" s="5">
        <v>0.27</v>
      </c>
      <c r="O52" s="5">
        <v>0.76</v>
      </c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</row>
    <row r="53" spans="1:53" x14ac:dyDescent="0.25">
      <c r="A53" s="11" t="s">
        <v>40</v>
      </c>
      <c r="H53" s="3"/>
      <c r="M53" s="6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</row>
    <row r="54" spans="1:53" x14ac:dyDescent="0.25">
      <c r="F54" s="8" t="s">
        <v>41</v>
      </c>
      <c r="G54"/>
      <c r="H54" s="3"/>
      <c r="I54" s="15"/>
      <c r="J54"/>
      <c r="M54" s="6"/>
      <c r="N54"/>
      <c r="O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</row>
    <row r="58" spans="1:53" x14ac:dyDescent="0.25">
      <c r="A58" s="1"/>
      <c r="B58" s="31" t="s">
        <v>0</v>
      </c>
      <c r="C58" s="32" t="s">
        <v>16</v>
      </c>
      <c r="D58" s="28" t="s">
        <v>21</v>
      </c>
      <c r="E58" s="28"/>
      <c r="F58" s="28"/>
      <c r="G58" s="29" t="s">
        <v>22</v>
      </c>
      <c r="H58" s="29"/>
      <c r="I58" s="29"/>
      <c r="J58" s="26" t="s">
        <v>23</v>
      </c>
      <c r="K58" s="26"/>
      <c r="L58" s="26"/>
      <c r="M58" s="25" t="s">
        <v>2</v>
      </c>
      <c r="N58" s="24" t="s">
        <v>25</v>
      </c>
      <c r="O58" s="24"/>
      <c r="P58" s="24"/>
      <c r="Q58" s="24"/>
      <c r="R58" s="24"/>
      <c r="S58" s="24"/>
      <c r="T58" s="27" t="s">
        <v>8</v>
      </c>
      <c r="U58" s="27"/>
      <c r="V58" s="18" t="s">
        <v>9</v>
      </c>
      <c r="W58" s="20" t="s">
        <v>10</v>
      </c>
      <c r="X58" s="18" t="s">
        <v>28</v>
      </c>
      <c r="Y58" s="20" t="s">
        <v>26</v>
      </c>
      <c r="Z58" s="18" t="s">
        <v>27</v>
      </c>
      <c r="AA58" s="23" t="s">
        <v>13</v>
      </c>
      <c r="AB58" s="23"/>
      <c r="AC58" s="23"/>
      <c r="AD58" s="23"/>
      <c r="AE58" s="23"/>
      <c r="AF58" s="23"/>
      <c r="AG58" s="23"/>
      <c r="AH58" s="23"/>
      <c r="AI58" s="23"/>
      <c r="AJ58" s="23"/>
      <c r="AK58" s="23"/>
      <c r="AL58" s="23"/>
      <c r="AM58" s="23"/>
      <c r="AN58" s="23"/>
      <c r="AO58" s="23"/>
      <c r="AP58" s="23"/>
      <c r="AQ58" s="23"/>
      <c r="AR58" s="23"/>
      <c r="AS58" s="23"/>
      <c r="AT58" s="23"/>
      <c r="AU58" s="23"/>
      <c r="AV58" s="23"/>
      <c r="AW58" s="23"/>
      <c r="AX58" s="23"/>
      <c r="AY58" s="23"/>
      <c r="AZ58" s="23"/>
      <c r="BA58" s="23"/>
    </row>
    <row r="59" spans="1:53" x14ac:dyDescent="0.25">
      <c r="A59" s="1"/>
      <c r="B59" s="31"/>
      <c r="C59" s="33"/>
      <c r="D59" s="20" t="s">
        <v>1</v>
      </c>
      <c r="E59" s="20" t="s">
        <v>24</v>
      </c>
      <c r="F59" s="40" t="s">
        <v>49</v>
      </c>
      <c r="G59" s="20" t="s">
        <v>1</v>
      </c>
      <c r="H59" s="20" t="s">
        <v>24</v>
      </c>
      <c r="I59" s="40" t="s">
        <v>50</v>
      </c>
      <c r="J59" s="20" t="s">
        <v>1</v>
      </c>
      <c r="K59" s="20" t="s">
        <v>24</v>
      </c>
      <c r="L59" s="40" t="s">
        <v>17</v>
      </c>
      <c r="M59" s="25"/>
      <c r="N59" s="20" t="s">
        <v>3</v>
      </c>
      <c r="O59" s="20" t="s">
        <v>4</v>
      </c>
      <c r="P59" s="20" t="s">
        <v>6</v>
      </c>
      <c r="Q59" s="20" t="s">
        <v>5</v>
      </c>
      <c r="R59" s="53" t="s">
        <v>51</v>
      </c>
      <c r="S59" s="53" t="s">
        <v>52</v>
      </c>
      <c r="T59" s="1">
        <v>1</v>
      </c>
      <c r="U59" s="1">
        <v>2</v>
      </c>
      <c r="V59" s="18"/>
      <c r="W59" s="22"/>
      <c r="X59" s="18"/>
      <c r="Y59" s="22"/>
      <c r="Z59" s="18"/>
      <c r="AA59" s="18">
        <v>1</v>
      </c>
      <c r="AB59" s="18"/>
      <c r="AC59" s="18"/>
      <c r="AD59" s="18">
        <v>2</v>
      </c>
      <c r="AE59" s="18"/>
      <c r="AF59" s="18"/>
      <c r="AG59" s="18">
        <v>3</v>
      </c>
      <c r="AH59" s="18"/>
      <c r="AI59" s="18"/>
      <c r="AJ59" s="18">
        <v>4</v>
      </c>
      <c r="AK59" s="18"/>
      <c r="AL59" s="18"/>
      <c r="AM59" s="18">
        <v>5</v>
      </c>
      <c r="AN59" s="18"/>
      <c r="AO59" s="18"/>
      <c r="AP59" s="18">
        <v>6</v>
      </c>
      <c r="AQ59" s="18"/>
      <c r="AR59" s="18"/>
      <c r="AS59" s="18">
        <v>7</v>
      </c>
      <c r="AT59" s="18"/>
      <c r="AU59" s="18"/>
      <c r="AV59" s="18">
        <v>8</v>
      </c>
      <c r="AW59" s="18"/>
      <c r="AX59" s="18"/>
      <c r="AY59" s="18">
        <v>9</v>
      </c>
      <c r="AZ59" s="18"/>
      <c r="BA59" s="18"/>
    </row>
    <row r="60" spans="1:53" ht="45" x14ac:dyDescent="0.25">
      <c r="A60" s="54" t="s">
        <v>20</v>
      </c>
      <c r="B60" s="31"/>
      <c r="C60" s="33"/>
      <c r="D60" s="20"/>
      <c r="E60" s="20"/>
      <c r="F60" s="40"/>
      <c r="G60" s="20"/>
      <c r="H60" s="20"/>
      <c r="I60" s="40"/>
      <c r="J60" s="20"/>
      <c r="K60" s="20"/>
      <c r="L60" s="40"/>
      <c r="M60" s="25"/>
      <c r="N60" s="20"/>
      <c r="O60" s="20"/>
      <c r="P60" s="20"/>
      <c r="Q60" s="20"/>
      <c r="R60" s="53"/>
      <c r="S60" s="53"/>
      <c r="T60" s="1" t="s">
        <v>7</v>
      </c>
      <c r="U60" s="1" t="s">
        <v>7</v>
      </c>
      <c r="V60" s="18"/>
      <c r="W60" s="22"/>
      <c r="X60" s="18"/>
      <c r="Y60" s="22"/>
      <c r="Z60" s="18"/>
      <c r="AA60" s="9" t="s">
        <v>7</v>
      </c>
      <c r="AB60" s="10" t="s">
        <v>12</v>
      </c>
      <c r="AC60" s="9" t="s">
        <v>11</v>
      </c>
      <c r="AD60" s="9" t="s">
        <v>7</v>
      </c>
      <c r="AE60" s="10" t="s">
        <v>12</v>
      </c>
      <c r="AF60" s="9" t="s">
        <v>11</v>
      </c>
      <c r="AG60" s="9" t="s">
        <v>7</v>
      </c>
      <c r="AH60" s="10" t="s">
        <v>12</v>
      </c>
      <c r="AI60" s="9" t="s">
        <v>11</v>
      </c>
      <c r="AJ60" s="9" t="s">
        <v>7</v>
      </c>
      <c r="AK60" s="10" t="s">
        <v>12</v>
      </c>
      <c r="AL60" s="9" t="s">
        <v>11</v>
      </c>
      <c r="AM60" s="9" t="s">
        <v>7</v>
      </c>
      <c r="AN60" s="10" t="s">
        <v>12</v>
      </c>
      <c r="AO60" s="9" t="s">
        <v>11</v>
      </c>
      <c r="AP60" s="9" t="s">
        <v>7</v>
      </c>
      <c r="AQ60" s="10" t="s">
        <v>12</v>
      </c>
      <c r="AR60" s="9" t="s">
        <v>11</v>
      </c>
      <c r="AS60" s="9" t="s">
        <v>7</v>
      </c>
      <c r="AT60" s="10" t="s">
        <v>12</v>
      </c>
      <c r="AU60" s="10" t="s">
        <v>11</v>
      </c>
      <c r="AV60" s="9" t="s">
        <v>7</v>
      </c>
      <c r="AW60" s="10" t="s">
        <v>12</v>
      </c>
      <c r="AX60" s="10" t="s">
        <v>11</v>
      </c>
      <c r="AY60" s="9" t="s">
        <v>7</v>
      </c>
      <c r="AZ60" s="10" t="s">
        <v>12</v>
      </c>
      <c r="BA60" s="10" t="s">
        <v>11</v>
      </c>
    </row>
    <row r="61" spans="1:53" x14ac:dyDescent="0.25">
      <c r="A61" s="52"/>
      <c r="B61" s="34"/>
      <c r="C61" s="35"/>
      <c r="D61"/>
      <c r="E61"/>
      <c r="F61" s="37"/>
      <c r="G61"/>
      <c r="H61"/>
      <c r="I61" s="37"/>
      <c r="J61"/>
      <c r="K61"/>
      <c r="L61" s="37"/>
      <c r="M61" s="37"/>
      <c r="N61"/>
      <c r="O61"/>
      <c r="P61"/>
      <c r="Q61"/>
      <c r="R61" s="37"/>
      <c r="S61" s="37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</row>
    <row r="62" spans="1:53" x14ac:dyDescent="0.25">
      <c r="A62" s="52"/>
      <c r="B62" s="34"/>
      <c r="C62" s="35"/>
      <c r="D62"/>
      <c r="E62"/>
      <c r="F62" s="37"/>
      <c r="G62"/>
      <c r="H62"/>
      <c r="I62" s="37"/>
      <c r="J62"/>
      <c r="K62"/>
      <c r="L62" s="37"/>
      <c r="M62" s="37"/>
      <c r="N62"/>
      <c r="O62"/>
      <c r="P62"/>
      <c r="Q62"/>
      <c r="R62" s="37"/>
      <c r="S62" s="37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</row>
    <row r="63" spans="1:53" x14ac:dyDescent="0.25">
      <c r="A63" s="52"/>
      <c r="B63" s="34"/>
      <c r="C63" s="35"/>
      <c r="D63"/>
      <c r="E63"/>
      <c r="F63" s="37"/>
      <c r="G63"/>
      <c r="H63"/>
      <c r="I63" s="37"/>
      <c r="J63"/>
      <c r="K63"/>
      <c r="L63" s="37"/>
      <c r="M63" s="37"/>
      <c r="N63"/>
      <c r="O63"/>
      <c r="P63"/>
      <c r="Q63"/>
      <c r="R63" s="37"/>
      <c r="S63" s="37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</row>
    <row r="64" spans="1:53" x14ac:dyDescent="0.25">
      <c r="A64" s="52"/>
      <c r="B64" s="34"/>
      <c r="C64" s="35"/>
      <c r="D64"/>
      <c r="E64"/>
      <c r="F64" s="37"/>
      <c r="G64"/>
      <c r="H64"/>
      <c r="I64" s="37"/>
      <c r="J64"/>
      <c r="K64"/>
      <c r="L64" s="37"/>
      <c r="M64" s="37"/>
      <c r="N64"/>
      <c r="O64"/>
      <c r="P64"/>
      <c r="Q64"/>
      <c r="R64" s="37"/>
      <c r="S64" s="37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</row>
    <row r="65" spans="1:53" x14ac:dyDescent="0.25">
      <c r="A65" s="52"/>
      <c r="B65" s="34"/>
      <c r="C65" s="35"/>
      <c r="D65"/>
      <c r="E65"/>
      <c r="F65" s="37"/>
      <c r="G65"/>
      <c r="H65"/>
      <c r="I65" s="37"/>
      <c r="J65"/>
      <c r="K65"/>
      <c r="L65" s="37"/>
      <c r="M65" s="37"/>
      <c r="N65"/>
      <c r="O65"/>
      <c r="P65"/>
      <c r="Q65"/>
      <c r="R65" s="37"/>
      <c r="S65" s="37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</row>
    <row r="66" spans="1:53" x14ac:dyDescent="0.25">
      <c r="A66" s="52"/>
      <c r="B66" s="34"/>
      <c r="C66" s="35"/>
      <c r="D66"/>
      <c r="E66"/>
      <c r="F66" s="37"/>
      <c r="G66"/>
      <c r="H66"/>
      <c r="I66" s="37"/>
      <c r="J66"/>
      <c r="K66"/>
      <c r="L66" s="37"/>
      <c r="M66" s="37"/>
      <c r="N66"/>
      <c r="O66"/>
      <c r="P66"/>
      <c r="Q66"/>
      <c r="R66" s="37"/>
      <c r="S66" s="37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</row>
    <row r="67" spans="1:53" x14ac:dyDescent="0.25">
      <c r="A67" s="52"/>
      <c r="B67" s="34"/>
      <c r="C67" s="35"/>
      <c r="D67"/>
      <c r="E67"/>
      <c r="F67" s="37"/>
      <c r="G67"/>
      <c r="H67"/>
      <c r="I67" s="37"/>
      <c r="J67"/>
      <c r="K67"/>
      <c r="L67" s="37"/>
      <c r="M67" s="37"/>
      <c r="N67"/>
      <c r="O67"/>
      <c r="P67"/>
      <c r="Q67"/>
      <c r="R67" s="37"/>
      <c r="S67" s="3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</row>
    <row r="68" spans="1:53" x14ac:dyDescent="0.25">
      <c r="A68" s="52"/>
      <c r="B68" s="34"/>
      <c r="C68" s="35"/>
      <c r="D68"/>
      <c r="E68"/>
      <c r="F68" s="37"/>
      <c r="G68"/>
      <c r="H68"/>
      <c r="I68" s="37"/>
      <c r="J68"/>
      <c r="K68"/>
      <c r="L68" s="37"/>
      <c r="M68" s="37"/>
      <c r="N68"/>
      <c r="O68"/>
      <c r="P68"/>
      <c r="Q68"/>
      <c r="R68" s="37"/>
      <c r="S68" s="37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</row>
    <row r="69" spans="1:53" x14ac:dyDescent="0.25">
      <c r="A69" s="52"/>
      <c r="B69" s="34"/>
      <c r="C69" s="35"/>
      <c r="D69"/>
      <c r="E69"/>
      <c r="F69" s="37"/>
      <c r="G69"/>
      <c r="H69"/>
      <c r="I69" s="37"/>
      <c r="J69"/>
      <c r="K69"/>
      <c r="L69" s="37"/>
      <c r="M69" s="37"/>
      <c r="N69"/>
      <c r="O69"/>
      <c r="P69"/>
      <c r="Q69"/>
      <c r="R69" s="37"/>
      <c r="S69" s="37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</row>
    <row r="70" spans="1:53" x14ac:dyDescent="0.25">
      <c r="A70" s="52"/>
      <c r="B70" s="34"/>
      <c r="C70" s="35"/>
      <c r="D70"/>
      <c r="E70"/>
      <c r="F70" s="37"/>
      <c r="G70"/>
      <c r="H70"/>
      <c r="I70" s="37"/>
      <c r="J70"/>
      <c r="K70"/>
      <c r="L70" s="37"/>
      <c r="M70" s="37"/>
      <c r="N70"/>
      <c r="O70"/>
      <c r="P70"/>
      <c r="Q70"/>
      <c r="R70" s="37"/>
      <c r="S70" s="37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</row>
    <row r="71" spans="1:53" x14ac:dyDescent="0.25">
      <c r="A71" s="52"/>
      <c r="B71" s="34"/>
      <c r="C71" s="35"/>
      <c r="D71"/>
      <c r="E71"/>
      <c r="F71" s="37"/>
      <c r="G71"/>
      <c r="H71"/>
      <c r="I71" s="37"/>
      <c r="J71"/>
      <c r="K71"/>
      <c r="L71" s="37"/>
      <c r="M71" s="37"/>
      <c r="N71"/>
      <c r="O71"/>
      <c r="P71"/>
      <c r="Q71"/>
      <c r="R71" s="37"/>
      <c r="S71" s="37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</row>
    <row r="72" spans="1:53" x14ac:dyDescent="0.25">
      <c r="A72" s="52"/>
      <c r="B72" s="34"/>
      <c r="C72" s="35"/>
      <c r="D72"/>
      <c r="E72"/>
      <c r="F72" s="37"/>
      <c r="G72"/>
      <c r="H72"/>
      <c r="I72" s="37"/>
      <c r="J72"/>
      <c r="K72"/>
      <c r="L72" s="37"/>
      <c r="M72" s="37"/>
      <c r="N72"/>
      <c r="O72"/>
      <c r="P72"/>
      <c r="Q72"/>
      <c r="R72" s="37"/>
      <c r="S72" s="37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</row>
    <row r="73" spans="1:53" x14ac:dyDescent="0.25">
      <c r="A73" s="52"/>
      <c r="B73" s="34"/>
      <c r="C73" s="35"/>
      <c r="D73"/>
      <c r="E73"/>
      <c r="F73" s="37"/>
      <c r="G73"/>
      <c r="H73"/>
      <c r="I73" s="37"/>
      <c r="J73"/>
      <c r="K73"/>
      <c r="L73" s="37"/>
      <c r="M73" s="37"/>
      <c r="N73"/>
      <c r="O73"/>
      <c r="P73"/>
      <c r="Q73"/>
      <c r="R73" s="37"/>
      <c r="S73" s="37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</row>
    <row r="74" spans="1:53" x14ac:dyDescent="0.25">
      <c r="A74" s="52"/>
      <c r="B74" s="34"/>
      <c r="C74" s="35"/>
      <c r="D74"/>
      <c r="E74"/>
      <c r="F74" s="37"/>
      <c r="G74"/>
      <c r="H74"/>
      <c r="I74" s="37"/>
      <c r="J74"/>
      <c r="K74"/>
      <c r="L74" s="37"/>
      <c r="M74" s="37"/>
      <c r="N74"/>
      <c r="O74"/>
      <c r="P74"/>
      <c r="Q74"/>
      <c r="R74" s="37"/>
      <c r="S74" s="37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</row>
    <row r="75" spans="1:53" x14ac:dyDescent="0.25">
      <c r="A75" s="52"/>
      <c r="B75" s="34"/>
      <c r="C75" s="35"/>
      <c r="D75"/>
      <c r="E75"/>
      <c r="F75" s="37"/>
      <c r="G75"/>
      <c r="H75"/>
      <c r="I75" s="37"/>
      <c r="J75"/>
      <c r="K75"/>
      <c r="L75" s="37"/>
      <c r="M75" s="37"/>
      <c r="N75"/>
      <c r="O75"/>
      <c r="P75"/>
      <c r="Q75"/>
      <c r="R75" s="37"/>
      <c r="S75" s="37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</row>
    <row r="76" spans="1:53" x14ac:dyDescent="0.25">
      <c r="A76" s="52">
        <v>15</v>
      </c>
      <c r="B76" s="34" t="s">
        <v>78</v>
      </c>
      <c r="C76" s="35">
        <v>38.25</v>
      </c>
      <c r="D76"/>
      <c r="E76"/>
      <c r="F76" s="37">
        <v>42.76</v>
      </c>
      <c r="G76"/>
      <c r="H76"/>
      <c r="I76" s="37">
        <v>44.8</v>
      </c>
      <c r="J76"/>
      <c r="K76"/>
      <c r="L76" s="37">
        <v>89.71</v>
      </c>
      <c r="M76" s="39" t="s">
        <v>29</v>
      </c>
      <c r="N76"/>
      <c r="O76"/>
      <c r="P76" s="13"/>
      <c r="Q76">
        <v>6.7</v>
      </c>
      <c r="R76" s="37">
        <v>39.65</v>
      </c>
      <c r="S76" s="37">
        <v>44.95</v>
      </c>
      <c r="T76" t="s">
        <v>69</v>
      </c>
      <c r="U76" t="s">
        <v>76</v>
      </c>
      <c r="V76">
        <v>1</v>
      </c>
      <c r="W76">
        <v>15.7</v>
      </c>
      <c r="X76">
        <v>6</v>
      </c>
      <c r="Y76">
        <v>40.58</v>
      </c>
      <c r="Z76">
        <v>4</v>
      </c>
      <c r="AA76"/>
      <c r="AB76"/>
      <c r="AC76"/>
      <c r="AD76"/>
      <c r="AE76"/>
      <c r="AF76"/>
      <c r="AG76"/>
      <c r="AH76"/>
      <c r="AI76"/>
      <c r="AJ76"/>
      <c r="AK76"/>
      <c r="AL76"/>
      <c r="AM76" t="s">
        <v>67</v>
      </c>
      <c r="AN76" t="s">
        <v>66</v>
      </c>
      <c r="AO76">
        <v>24.01</v>
      </c>
      <c r="AP76" t="s">
        <v>75</v>
      </c>
      <c r="AQ76" t="s">
        <v>74</v>
      </c>
      <c r="AR76">
        <v>31.53</v>
      </c>
      <c r="AS76" t="s">
        <v>71</v>
      </c>
      <c r="AT76" t="s">
        <v>74</v>
      </c>
      <c r="AU76">
        <v>33.6</v>
      </c>
      <c r="AV76"/>
      <c r="AW76"/>
      <c r="AX76"/>
      <c r="AY76"/>
      <c r="AZ76"/>
      <c r="BA76"/>
    </row>
    <row r="77" spans="1:53" x14ac:dyDescent="0.25">
      <c r="A77" s="51">
        <v>16</v>
      </c>
      <c r="B77" s="50" t="s">
        <v>83</v>
      </c>
      <c r="C77" s="49">
        <f>MIN(F76,I76,L76:M76,R76:S76)</f>
        <v>39.65</v>
      </c>
      <c r="D77" s="44"/>
      <c r="E77" s="44"/>
      <c r="F77" s="37">
        <f>F76</f>
        <v>42.76</v>
      </c>
      <c r="G77" s="44"/>
      <c r="H77" s="44"/>
      <c r="I77" s="37">
        <f>I76</f>
        <v>44.8</v>
      </c>
      <c r="J77"/>
      <c r="K77"/>
      <c r="L77" s="37">
        <f>L76</f>
        <v>89.71</v>
      </c>
      <c r="M77" s="39"/>
      <c r="N77">
        <v>0.19</v>
      </c>
      <c r="O77">
        <v>0.91</v>
      </c>
      <c r="P77">
        <f>(SQRT(-2*LN(N77))*COS(2*PI()*O77))*3+11</f>
        <v>15.616332469816234</v>
      </c>
      <c r="Q77">
        <f>(SQRT(-2*LN(N77))*SIN(2*PI()*O77))*3+11</f>
        <v>8.0703863307749817</v>
      </c>
      <c r="R77" s="48">
        <f>P77+C77</f>
        <v>55.266332469816234</v>
      </c>
      <c r="S77" s="48">
        <f>S76</f>
        <v>44.95</v>
      </c>
      <c r="T77" t="s">
        <v>61</v>
      </c>
      <c r="U77" t="s">
        <v>76</v>
      </c>
      <c r="V77" s="44">
        <v>0</v>
      </c>
      <c r="W77" s="44">
        <f>W76+C77-AU76</f>
        <v>21.749999999999993</v>
      </c>
      <c r="X77" s="44">
        <v>7</v>
      </c>
      <c r="Y77" s="44">
        <f>Y76+C77-AO76</f>
        <v>56.219999999999985</v>
      </c>
      <c r="Z77" s="44">
        <v>5</v>
      </c>
      <c r="AA77" s="44"/>
      <c r="AB77" s="44"/>
      <c r="AC77" s="44"/>
      <c r="AD77" s="44"/>
      <c r="AE77" s="44"/>
      <c r="AF77" s="44"/>
      <c r="AG77" s="44"/>
      <c r="AH77" s="44"/>
      <c r="AI77" s="44"/>
      <c r="AJ77" s="44"/>
      <c r="AK77" s="44"/>
      <c r="AL77" s="44"/>
      <c r="AM77" s="45"/>
      <c r="AN77" s="45"/>
      <c r="AO77" s="45"/>
      <c r="AP77" t="s">
        <v>75</v>
      </c>
      <c r="AQ77" t="s">
        <v>74</v>
      </c>
      <c r="AR77">
        <f>AR76</f>
        <v>31.53</v>
      </c>
      <c r="AS77" s="44" t="s">
        <v>82</v>
      </c>
      <c r="AT77" t="s">
        <v>74</v>
      </c>
      <c r="AU77">
        <f>AU76</f>
        <v>33.6</v>
      </c>
      <c r="AV77" s="44"/>
      <c r="AW77" s="44"/>
      <c r="AX77" s="44"/>
      <c r="AY77" s="44"/>
      <c r="AZ77" s="44"/>
      <c r="BA77" s="44"/>
    </row>
    <row r="78" spans="1:53" x14ac:dyDescent="0.25">
      <c r="A78" s="51">
        <v>17</v>
      </c>
      <c r="B78" s="50" t="s">
        <v>58</v>
      </c>
      <c r="C78" s="49">
        <f>MIN(F77,I77,L77:M77,R77:S77)</f>
        <v>42.76</v>
      </c>
      <c r="D78" s="44">
        <v>0.61</v>
      </c>
      <c r="E78">
        <f>TRUNC(-5*LN(1-D78),2)</f>
        <v>4.7</v>
      </c>
      <c r="F78" s="37">
        <f>E78+C78</f>
        <v>47.46</v>
      </c>
      <c r="G78" s="44"/>
      <c r="H78" s="44"/>
      <c r="I78" s="48">
        <f>I77</f>
        <v>44.8</v>
      </c>
      <c r="J78" s="44"/>
      <c r="K78" s="44"/>
      <c r="L78" s="48">
        <f>L77</f>
        <v>89.71</v>
      </c>
      <c r="M78" s="48"/>
      <c r="N78" s="44"/>
      <c r="O78" s="44"/>
      <c r="P78" s="44"/>
      <c r="Q78" s="44">
        <f>Q77</f>
        <v>8.0703863307749817</v>
      </c>
      <c r="R78" s="48">
        <f>R77</f>
        <v>55.266332469816234</v>
      </c>
      <c r="S78" s="48">
        <f>S77</f>
        <v>44.95</v>
      </c>
      <c r="T78" t="s">
        <v>61</v>
      </c>
      <c r="U78" t="s">
        <v>76</v>
      </c>
      <c r="V78" s="44">
        <v>1</v>
      </c>
      <c r="W78" s="44">
        <f>W77</f>
        <v>21.749999999999993</v>
      </c>
      <c r="X78" s="44">
        <f>X77</f>
        <v>7</v>
      </c>
      <c r="Y78" s="44">
        <f>Y77</f>
        <v>56.219999999999985</v>
      </c>
      <c r="Z78" s="44">
        <f>Z77</f>
        <v>5</v>
      </c>
      <c r="AA78" s="44"/>
      <c r="AB78" s="44"/>
      <c r="AC78" s="44"/>
      <c r="AD78" s="44"/>
      <c r="AE78" s="44"/>
      <c r="AF78" s="44"/>
      <c r="AG78" s="44"/>
      <c r="AH78" s="44"/>
      <c r="AI78" s="44"/>
      <c r="AJ78" s="44"/>
      <c r="AK78" s="44"/>
      <c r="AL78" s="44"/>
      <c r="AM78" s="44"/>
      <c r="AN78" s="44"/>
      <c r="AO78" s="44"/>
      <c r="AP78" t="str">
        <f>AP77</f>
        <v>SA(2)</v>
      </c>
      <c r="AQ78" t="str">
        <f>AQ77</f>
        <v>com</v>
      </c>
      <c r="AR78">
        <f>AR77</f>
        <v>31.53</v>
      </c>
      <c r="AS78" t="str">
        <f>AS77</f>
        <v>SA 1</v>
      </c>
      <c r="AT78" t="str">
        <f>AT77</f>
        <v>com</v>
      </c>
      <c r="AU78">
        <f>AU77</f>
        <v>33.6</v>
      </c>
      <c r="AV78" s="44" t="s">
        <v>71</v>
      </c>
      <c r="AW78" s="44" t="s">
        <v>61</v>
      </c>
      <c r="AX78" s="44">
        <f>C78</f>
        <v>42.76</v>
      </c>
      <c r="AY78" s="44"/>
      <c r="AZ78" s="44"/>
      <c r="BA78" s="44"/>
    </row>
    <row r="79" spans="1:53" x14ac:dyDescent="0.25">
      <c r="A79" s="51">
        <v>18</v>
      </c>
      <c r="B79" s="50" t="s">
        <v>81</v>
      </c>
      <c r="C79" s="49">
        <f>MIN(F78,I78,L78:M78,R78:S78)</f>
        <v>44.8</v>
      </c>
      <c r="D79" s="44"/>
      <c r="E79" s="44"/>
      <c r="F79" s="48">
        <f>F78</f>
        <v>47.46</v>
      </c>
      <c r="G79" s="44">
        <v>0.22</v>
      </c>
      <c r="H79">
        <f>TRUNC(-15*LN(1-G79),2)</f>
        <v>3.72</v>
      </c>
      <c r="I79" s="37">
        <f>H79+C79</f>
        <v>48.519999999999996</v>
      </c>
      <c r="J79" s="44"/>
      <c r="K79" s="44"/>
      <c r="L79" s="48">
        <f>L78</f>
        <v>89.71</v>
      </c>
      <c r="M79" s="48"/>
      <c r="N79" s="44"/>
      <c r="O79" s="44"/>
      <c r="P79" s="44"/>
      <c r="Q79" s="44">
        <f>Q78</f>
        <v>8.0703863307749817</v>
      </c>
      <c r="R79" s="48">
        <f>R78</f>
        <v>55.266332469816234</v>
      </c>
      <c r="S79" s="48">
        <f>S78</f>
        <v>44.95</v>
      </c>
      <c r="T79" t="s">
        <v>61</v>
      </c>
      <c r="U79" t="s">
        <v>76</v>
      </c>
      <c r="V79" s="44">
        <v>2</v>
      </c>
      <c r="W79" s="44">
        <f>W78</f>
        <v>21.749999999999993</v>
      </c>
      <c r="X79" s="44">
        <f>X78</f>
        <v>7</v>
      </c>
      <c r="Y79" s="44">
        <f>Y78</f>
        <v>56.219999999999985</v>
      </c>
      <c r="Z79" s="44">
        <f>Z78</f>
        <v>5</v>
      </c>
      <c r="AA79" s="44"/>
      <c r="AB79" s="44"/>
      <c r="AC79" s="44"/>
      <c r="AD79" s="44"/>
      <c r="AE79" s="44"/>
      <c r="AF79" s="44"/>
      <c r="AG79" s="44"/>
      <c r="AH79" s="44"/>
      <c r="AI79" s="44"/>
      <c r="AJ79" s="44"/>
      <c r="AK79" s="44"/>
      <c r="AL79" s="44"/>
      <c r="AM79" s="44"/>
      <c r="AN79" s="44"/>
      <c r="AO79" s="44"/>
      <c r="AP79" s="44" t="str">
        <f>AP78</f>
        <v>SA(2)</v>
      </c>
      <c r="AQ79" s="44" t="str">
        <f>AQ78</f>
        <v>com</v>
      </c>
      <c r="AR79" s="44">
        <f>AR78</f>
        <v>31.53</v>
      </c>
      <c r="AS79" s="44" t="str">
        <f>AS78</f>
        <v>SA 1</v>
      </c>
      <c r="AT79" s="44" t="str">
        <f>AT78</f>
        <v>com</v>
      </c>
      <c r="AU79" s="44">
        <f>AU78</f>
        <v>33.6</v>
      </c>
      <c r="AV79" s="44" t="str">
        <f>AV78</f>
        <v>EA</v>
      </c>
      <c r="AW79" s="44" t="str">
        <f>AW78</f>
        <v>CC</v>
      </c>
      <c r="AX79" s="44">
        <f>AX78</f>
        <v>42.76</v>
      </c>
      <c r="AY79" s="44" t="s">
        <v>71</v>
      </c>
      <c r="AZ79" s="44" t="s">
        <v>64</v>
      </c>
      <c r="BA79" s="44">
        <f>C79</f>
        <v>44.8</v>
      </c>
    </row>
    <row r="80" spans="1:53" x14ac:dyDescent="0.25">
      <c r="A80" s="51">
        <v>19</v>
      </c>
      <c r="B80" s="50" t="s">
        <v>80</v>
      </c>
      <c r="C80" s="49">
        <f>MIN(F79,I79,L79:M79,R79:S79)</f>
        <v>44.95</v>
      </c>
      <c r="D80" s="44"/>
      <c r="E80" s="44"/>
      <c r="F80" s="48">
        <f>F79</f>
        <v>47.46</v>
      </c>
      <c r="G80" s="44"/>
      <c r="H80" s="44"/>
      <c r="I80" s="48">
        <f>I79</f>
        <v>48.519999999999996</v>
      </c>
      <c r="J80" s="44"/>
      <c r="K80" s="44"/>
      <c r="L80" s="48">
        <f>L79</f>
        <v>89.71</v>
      </c>
      <c r="M80" s="48"/>
      <c r="N80" s="44"/>
      <c r="O80" s="44"/>
      <c r="P80"/>
      <c r="Q80">
        <f>Q79</f>
        <v>8.0703863307749817</v>
      </c>
      <c r="R80" s="48">
        <f>R79</f>
        <v>55.266332469816234</v>
      </c>
      <c r="S80" s="48">
        <f>Q80+C80</f>
        <v>53.020386330774983</v>
      </c>
      <c r="T80" t="s">
        <v>61</v>
      </c>
      <c r="U80" s="44" t="s">
        <v>76</v>
      </c>
      <c r="V80" s="44">
        <v>1</v>
      </c>
      <c r="W80" s="47">
        <f>W79+C80-AX79</f>
        <v>23.939999999999991</v>
      </c>
      <c r="X80" s="47">
        <v>8</v>
      </c>
      <c r="Y80" s="46">
        <f>Y79+C80-AR79</f>
        <v>69.639999999999986</v>
      </c>
      <c r="Z80" s="46">
        <v>6</v>
      </c>
      <c r="AA80" s="44"/>
      <c r="AB80" s="44"/>
      <c r="AC80" s="44"/>
      <c r="AD80" s="44"/>
      <c r="AE80" s="44"/>
      <c r="AF80" s="44"/>
      <c r="AG80" s="44"/>
      <c r="AH80" s="44"/>
      <c r="AI80" s="44"/>
      <c r="AJ80" s="44"/>
      <c r="AK80" s="44"/>
      <c r="AL80" s="44"/>
      <c r="AM80" s="44"/>
      <c r="AN80" s="44"/>
      <c r="AO80" s="44"/>
      <c r="AP80" s="45"/>
      <c r="AQ80" s="45"/>
      <c r="AR80" s="45"/>
      <c r="AS80" s="44" t="str">
        <f>AS79</f>
        <v>SA 1</v>
      </c>
      <c r="AT80" s="44" t="str">
        <f>AT79</f>
        <v>com</v>
      </c>
      <c r="AU80" s="44">
        <f>AU79</f>
        <v>33.6</v>
      </c>
      <c r="AV80" s="44" t="s">
        <v>79</v>
      </c>
      <c r="AW80" s="44" t="s">
        <v>61</v>
      </c>
      <c r="AX80" s="44">
        <f>AX79</f>
        <v>42.76</v>
      </c>
      <c r="AY80" s="44" t="str">
        <f>AY79</f>
        <v>EA</v>
      </c>
      <c r="AZ80" s="44" t="str">
        <f>AZ79</f>
        <v>RT</v>
      </c>
      <c r="BA80" s="44">
        <f>BA79</f>
        <v>44.8</v>
      </c>
    </row>
    <row r="81" spans="1:53" x14ac:dyDescent="0.25">
      <c r="A81" s="43"/>
      <c r="B81" s="44"/>
      <c r="C81" s="6"/>
      <c r="D81" s="6"/>
      <c r="E81" s="6"/>
      <c r="F81" s="6"/>
      <c r="G81" s="6"/>
      <c r="H81" s="6"/>
      <c r="I81" s="42"/>
      <c r="J81" s="6"/>
      <c r="K81" s="6"/>
      <c r="L81" s="6"/>
      <c r="M81" s="6"/>
      <c r="N81" s="6"/>
      <c r="O81" s="6"/>
      <c r="P81" s="6"/>
      <c r="Q81" s="6"/>
      <c r="R81" s="6"/>
      <c r="S81" s="6"/>
      <c r="T81" s="43"/>
      <c r="U81" s="42"/>
      <c r="V81" s="42"/>
      <c r="W81" s="42"/>
      <c r="X81" s="43"/>
      <c r="Y81" s="42"/>
      <c r="Z81" s="42"/>
      <c r="AA81" s="43"/>
      <c r="AB81" s="42"/>
      <c r="AC81" s="42"/>
      <c r="AD81" s="43"/>
      <c r="AE81" s="42"/>
      <c r="AF81" s="43"/>
      <c r="AG81" s="42"/>
      <c r="AH81" s="43"/>
      <c r="AI81" s="42"/>
      <c r="AJ81" s="43"/>
      <c r="AK81" s="42"/>
      <c r="AL81" s="43"/>
      <c r="AM81" s="42"/>
      <c r="AN81" s="43"/>
      <c r="AO81" s="42"/>
      <c r="AP81" s="42"/>
      <c r="AQ81" s="43"/>
      <c r="AR81" s="42"/>
      <c r="AS81" s="43"/>
      <c r="AT81" s="42"/>
      <c r="AU81" s="42"/>
      <c r="AV81" s="42"/>
      <c r="AW81" s="43"/>
      <c r="AX81" s="42"/>
      <c r="AY81" s="43"/>
      <c r="AZ81" s="43"/>
      <c r="BA81" s="42"/>
    </row>
    <row r="82" spans="1:53" x14ac:dyDescent="0.25">
      <c r="A82" s="14" t="s">
        <v>30</v>
      </c>
      <c r="F82" s="8"/>
      <c r="H82" s="3"/>
      <c r="M82" s="6"/>
      <c r="Q82"/>
      <c r="R82"/>
      <c r="S82"/>
      <c r="T82"/>
      <c r="U82"/>
      <c r="V82" t="s">
        <v>18</v>
      </c>
      <c r="W82">
        <f>W80/X80</f>
        <v>2.9924999999999988</v>
      </c>
      <c r="X82" t="s">
        <v>19</v>
      </c>
      <c r="Y82">
        <f>Y80/Z80</f>
        <v>11.606666666666664</v>
      </c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</row>
    <row r="83" spans="1:53" x14ac:dyDescent="0.25">
      <c r="A83" s="14" t="s">
        <v>31</v>
      </c>
      <c r="D83" s="5">
        <v>0.61</v>
      </c>
      <c r="G83">
        <v>0.22</v>
      </c>
      <c r="H83" s="3"/>
      <c r="J83">
        <v>0.84</v>
      </c>
      <c r="N83">
        <v>0.19</v>
      </c>
      <c r="O83">
        <v>0.91</v>
      </c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</row>
    <row r="84" spans="1:53" x14ac:dyDescent="0.25">
      <c r="A84" s="14" t="s">
        <v>34</v>
      </c>
      <c r="D84">
        <v>0.86</v>
      </c>
      <c r="G84">
        <v>0.16</v>
      </c>
      <c r="H84" s="3"/>
      <c r="J84" s="5">
        <v>0.03</v>
      </c>
      <c r="N84">
        <v>0.38</v>
      </c>
      <c r="O84">
        <v>7.0000000000000007E-2</v>
      </c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</row>
    <row r="85" spans="1:53" x14ac:dyDescent="0.25">
      <c r="A85" s="14" t="s">
        <v>37</v>
      </c>
      <c r="D85" s="5">
        <v>0.24</v>
      </c>
      <c r="G85">
        <v>0.37</v>
      </c>
      <c r="H85" s="3"/>
      <c r="J85" s="5">
        <v>0.48</v>
      </c>
      <c r="N85" s="5">
        <v>0.27</v>
      </c>
      <c r="O85" s="5">
        <v>0.76</v>
      </c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</row>
    <row r="86" spans="1:53" x14ac:dyDescent="0.25">
      <c r="A86" s="11" t="s">
        <v>40</v>
      </c>
      <c r="H86" s="3"/>
      <c r="M86" s="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</row>
    <row r="87" spans="1:53" x14ac:dyDescent="0.25">
      <c r="F87" s="8" t="s">
        <v>41</v>
      </c>
      <c r="G87"/>
      <c r="H87" s="3"/>
      <c r="I87" s="15"/>
      <c r="J87"/>
      <c r="M87" s="6"/>
      <c r="N87"/>
      <c r="O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</row>
  </sheetData>
  <mergeCells count="118">
    <mergeCell ref="AP59:AR59"/>
    <mergeCell ref="AS59:AU59"/>
    <mergeCell ref="B58:B60"/>
    <mergeCell ref="C58:C60"/>
    <mergeCell ref="D58:F58"/>
    <mergeCell ref="G58:I58"/>
    <mergeCell ref="J58:L58"/>
    <mergeCell ref="M58:M60"/>
    <mergeCell ref="N58:S58"/>
    <mergeCell ref="T58:U58"/>
    <mergeCell ref="P59:P60"/>
    <mergeCell ref="D59:D60"/>
    <mergeCell ref="E59:E60"/>
    <mergeCell ref="F59:F60"/>
    <mergeCell ref="X58:X60"/>
    <mergeCell ref="Y58:Y60"/>
    <mergeCell ref="Z58:Z60"/>
    <mergeCell ref="G59:G60"/>
    <mergeCell ref="H59:H60"/>
    <mergeCell ref="I59:I60"/>
    <mergeCell ref="J59:J60"/>
    <mergeCell ref="K59:K60"/>
    <mergeCell ref="AA58:BA58"/>
    <mergeCell ref="AJ59:AL59"/>
    <mergeCell ref="AM59:AO59"/>
    <mergeCell ref="L59:L60"/>
    <mergeCell ref="N59:N60"/>
    <mergeCell ref="O59:O60"/>
    <mergeCell ref="AV59:AX59"/>
    <mergeCell ref="AY59:BA59"/>
    <mergeCell ref="Q59:Q60"/>
    <mergeCell ref="R59:R60"/>
    <mergeCell ref="S59:S60"/>
    <mergeCell ref="AA59:AC59"/>
    <mergeCell ref="AD59:AF59"/>
    <mergeCell ref="AG59:AI59"/>
    <mergeCell ref="V58:V60"/>
    <mergeCell ref="W58:W60"/>
    <mergeCell ref="B30:B32"/>
    <mergeCell ref="C30:C32"/>
    <mergeCell ref="D30:F30"/>
    <mergeCell ref="G30:I30"/>
    <mergeCell ref="J30:L30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N31:N32"/>
    <mergeCell ref="O31:O32"/>
    <mergeCell ref="AV31:AX31"/>
    <mergeCell ref="AJ31:AL31"/>
    <mergeCell ref="AM31:AO31"/>
    <mergeCell ref="AP31:AR31"/>
    <mergeCell ref="AS31:AU31"/>
    <mergeCell ref="P31:P32"/>
    <mergeCell ref="M30:M32"/>
    <mergeCell ref="N30:S30"/>
    <mergeCell ref="AY31:BA31"/>
    <mergeCell ref="Q31:Q32"/>
    <mergeCell ref="R31:R32"/>
    <mergeCell ref="S31:S32"/>
    <mergeCell ref="AA31:AC31"/>
    <mergeCell ref="AD31:AF31"/>
    <mergeCell ref="AG31:AI31"/>
    <mergeCell ref="V30:V32"/>
    <mergeCell ref="W30:W32"/>
    <mergeCell ref="X30:X32"/>
    <mergeCell ref="Y30:Y32"/>
    <mergeCell ref="Z30:Z32"/>
    <mergeCell ref="AA30:BA30"/>
    <mergeCell ref="T30:U30"/>
    <mergeCell ref="J3:J4"/>
    <mergeCell ref="W1:X1"/>
    <mergeCell ref="Y1:Z1"/>
    <mergeCell ref="T2:U2"/>
    <mergeCell ref="B2:B4"/>
    <mergeCell ref="C2:C4"/>
    <mergeCell ref="D2:F2"/>
    <mergeCell ref="G2:I2"/>
    <mergeCell ref="J2:L2"/>
    <mergeCell ref="P3:P4"/>
    <mergeCell ref="D3:D4"/>
    <mergeCell ref="E3:E4"/>
    <mergeCell ref="F3:F4"/>
    <mergeCell ref="G3:G4"/>
    <mergeCell ref="H3:H4"/>
    <mergeCell ref="I3:I4"/>
    <mergeCell ref="M2:M4"/>
    <mergeCell ref="K3:K4"/>
    <mergeCell ref="L3:L4"/>
    <mergeCell ref="N3:N4"/>
    <mergeCell ref="O3:O4"/>
    <mergeCell ref="AV3:AX3"/>
    <mergeCell ref="AJ3:AL3"/>
    <mergeCell ref="AM3:AO3"/>
    <mergeCell ref="AP3:AR3"/>
    <mergeCell ref="AS3:AU3"/>
    <mergeCell ref="AY3:BA3"/>
    <mergeCell ref="W27:X27"/>
    <mergeCell ref="Y27:Z27"/>
    <mergeCell ref="Q3:Q4"/>
    <mergeCell ref="R3:R4"/>
    <mergeCell ref="S3:S4"/>
    <mergeCell ref="AA3:AC3"/>
    <mergeCell ref="AD3:AF3"/>
    <mergeCell ref="AG3:AI3"/>
    <mergeCell ref="V2:V4"/>
    <mergeCell ref="W2:W4"/>
    <mergeCell ref="X2:X4"/>
    <mergeCell ref="Y2:Y4"/>
    <mergeCell ref="Z2:Z4"/>
    <mergeCell ref="AA2:BA2"/>
    <mergeCell ref="N2:S2"/>
  </mergeCells>
  <printOptions gridLines="1"/>
  <pageMargins left="3.937007874015748E-2" right="3.937007874015748E-2" top="0.74803149606299213" bottom="0.74803149606299213" header="0.31496062992125984" footer="0.31496062992125984"/>
  <pageSetup paperSize="9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Cabecera</vt:lpstr>
      <vt:lpstr>Cabecera!Área_de_impresión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Gonzalo Carena</dc:creator>
  <cp:lastModifiedBy>creepryder@gmail.com</cp:lastModifiedBy>
  <cp:lastPrinted>2025-06-17T18:43:15Z</cp:lastPrinted>
  <dcterms:created xsi:type="dcterms:W3CDTF">2025-06-12T22:20:09Z</dcterms:created>
  <dcterms:modified xsi:type="dcterms:W3CDTF">2025-07-04T05:09:05Z</dcterms:modified>
</cp:coreProperties>
</file>