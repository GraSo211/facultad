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13_ncr:1_{D59A3EB5-A79C-4A23-8C46-6887F530DD75}" xr6:coauthVersionLast="47" xr6:coauthVersionMax="47" xr10:uidLastSave="{00000000-0000-0000-0000-000000000000}"/>
  <bookViews>
    <workbookView xWindow="1035" yWindow="1650" windowWidth="28800" windowHeight="14985" tabRatio="471" xr2:uid="{00000000-000D-0000-FFFF-FFFF00000000}"/>
  </bookViews>
  <sheets>
    <sheet name="Cabecer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" i="6" l="1"/>
  <c r="U11" i="6"/>
  <c r="U10" i="6"/>
  <c r="S11" i="6"/>
  <c r="Q11" i="6"/>
  <c r="H11" i="6"/>
  <c r="F11" i="6"/>
  <c r="E11" i="6"/>
  <c r="J10" i="6"/>
  <c r="H10" i="6"/>
  <c r="F10" i="6"/>
  <c r="E10" i="6"/>
  <c r="R9" i="6"/>
  <c r="Q9" i="6"/>
  <c r="H9" i="6"/>
  <c r="F9" i="6"/>
  <c r="E9" i="6"/>
</calcChain>
</file>

<file path=xl/sharedStrings.xml><?xml version="1.0" encoding="utf-8"?>
<sst xmlns="http://schemas.openxmlformats.org/spreadsheetml/2006/main" count="139" uniqueCount="66">
  <si>
    <t>Evento</t>
  </si>
  <si>
    <t>RND</t>
  </si>
  <si>
    <t>próxima llegada</t>
  </si>
  <si>
    <t>RND Tipo</t>
  </si>
  <si>
    <t>Tipo</t>
  </si>
  <si>
    <t>fin ayuda telefónica</t>
  </si>
  <si>
    <t>tiempo atención</t>
  </si>
  <si>
    <t>Estado</t>
  </si>
  <si>
    <t>AC Ocupado</t>
  </si>
  <si>
    <t>AC Tiempo de Perm. en cola</t>
  </si>
  <si>
    <t>Hora Lleg.</t>
  </si>
  <si>
    <t>(min)
 Reloj</t>
  </si>
  <si>
    <t>Inicialización</t>
  </si>
  <si>
    <t>Libre</t>
  </si>
  <si>
    <t>-</t>
  </si>
  <si>
    <t>CLIENTE</t>
  </si>
  <si>
    <t>TÉCNICO (N)</t>
  </si>
  <si>
    <t>Tiempo remanente reparación interrumpida</t>
  </si>
  <si>
    <t>llegada_cliente</t>
  </si>
  <si>
    <t>fin_espera(i)</t>
  </si>
  <si>
    <t>llegada_llamada</t>
  </si>
  <si>
    <t>fin_reparación (i)</t>
  </si>
  <si>
    <t>Fin Espera 1</t>
  </si>
  <si>
    <t>Fin Espera 2</t>
  </si>
  <si>
    <t>Fin Espera 3</t>
  </si>
  <si>
    <t>próxima llegada llamada</t>
  </si>
  <si>
    <t>Fin reparación 1</t>
  </si>
  <si>
    <t>Fin reparación 2</t>
  </si>
  <si>
    <t>Tpo. entre
llegadas</t>
  </si>
  <si>
    <t>Cont. Cli. con acceso a Técnico</t>
  </si>
  <si>
    <t>Nro. Evento</t>
  </si>
  <si>
    <t>RNDs a usar en cada evento --&gt;</t>
  </si>
  <si>
    <t>Estos son los eventuales</t>
  </si>
  <si>
    <t>Primero el de arriba</t>
  </si>
  <si>
    <t>luego el segundo etc.</t>
  </si>
  <si>
    <t>1ra llegada</t>
  </si>
  <si>
    <t>2da llegada</t>
  </si>
  <si>
    <t>3ra llegada</t>
  </si>
  <si>
    <t>2do fin espera</t>
  </si>
  <si>
    <t>3er fin espera</t>
  </si>
  <si>
    <t>1° llamada</t>
  </si>
  <si>
    <t>2° llamada</t>
  </si>
  <si>
    <t>3° llamada</t>
  </si>
  <si>
    <t>1° fin reparación</t>
  </si>
  <si>
    <t>2° fin reparación</t>
  </si>
  <si>
    <t>3° fin reparación</t>
  </si>
  <si>
    <t>SEGÚN DEMANDA de cada evento</t>
  </si>
  <si>
    <t>1° fin espera</t>
  </si>
  <si>
    <t>(usar los que necesite para cada evento)</t>
  </si>
  <si>
    <t>Cola de Clientes Generales</t>
  </si>
  <si>
    <t>Cola de clientes Especia lidad</t>
  </si>
  <si>
    <t>Cont. cli. abandonan cola</t>
  </si>
  <si>
    <t>Cont. cli. que no ingresan</t>
  </si>
  <si>
    <t>15 Minutos</t>
  </si>
  <si>
    <t>--</t>
  </si>
  <si>
    <t>El Tiempo de Espera MAXIMO de los clientes es de 15 minutos</t>
  </si>
  <si>
    <t>Llegada cliente 1</t>
  </si>
  <si>
    <t>General</t>
  </si>
  <si>
    <t>Especializada</t>
  </si>
  <si>
    <t>p ac</t>
  </si>
  <si>
    <t>Ocupado</t>
  </si>
  <si>
    <t>Siendo atendido</t>
  </si>
  <si>
    <t>Llegada cliente 2</t>
  </si>
  <si>
    <t>Esperando reparacion</t>
  </si>
  <si>
    <t>Llegada cliente 3</t>
  </si>
  <si>
    <t>Siendo atendida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</si>
</sst>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0" xfId="0" applyNumberFormat="1"/>
    <xf numFmtId="2" fontId="2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3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2" fontId="4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2" fontId="0" fillId="0" borderId="4" xfId="0" applyNumberFormat="1" applyBorder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4" xfId="0" applyNumberFormat="1" applyFont="1" applyBorder="1"/>
    <xf numFmtId="2" fontId="3" fillId="0" borderId="0" xfId="0" applyNumberFormat="1" applyFont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/>
    <xf numFmtId="0" fontId="0" fillId="0" borderId="4" xfId="0" applyBorder="1"/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2" fontId="3" fillId="0" borderId="0" xfId="0" quotePrefix="1" applyNumberFormat="1" applyFont="1" applyAlignment="1">
      <alignment horizontal="center"/>
    </xf>
    <xf numFmtId="2" fontId="2" fillId="7" borderId="0" xfId="0" applyNumberFormat="1" applyFont="1" applyFill="1"/>
    <xf numFmtId="0" fontId="0" fillId="7" borderId="0" xfId="0" applyFill="1"/>
    <xf numFmtId="0" fontId="0" fillId="7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 wrapText="1"/>
    </xf>
    <xf numFmtId="2" fontId="2" fillId="0" borderId="4" xfId="0" applyNumberFormat="1" applyFont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2" fontId="2" fillId="6" borderId="0" xfId="0" applyNumberFormat="1" applyFont="1" applyFill="1" applyAlignment="1">
      <alignment horizontal="center" wrapText="1"/>
    </xf>
    <xf numFmtId="2" fontId="2" fillId="2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5" borderId="0" xfId="0" applyFont="1" applyFill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" fontId="2" fillId="3" borderId="0" xfId="0" applyNumberFormat="1" applyFont="1" applyFill="1" applyAlignment="1">
      <alignment horizontal="center" wrapText="1"/>
    </xf>
    <xf numFmtId="1" fontId="2" fillId="3" borderId="4" xfId="0" applyNumberFormat="1" applyFont="1" applyFill="1" applyBorder="1" applyAlignment="1">
      <alignment horizontal="center" wrapText="1"/>
    </xf>
    <xf numFmtId="2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62A5-C502-45C9-BB31-62A195420A83}">
  <dimension ref="A1:BN30"/>
  <sheetViews>
    <sheetView tabSelected="1" zoomScaleNormal="100" workbookViewId="0">
      <selection activeCell="E11" sqref="E11"/>
    </sheetView>
  </sheetViews>
  <sheetFormatPr baseColWidth="10" defaultRowHeight="15" x14ac:dyDescent="0.25"/>
  <cols>
    <col min="1" max="1" width="7.28515625" style="2" customWidth="1"/>
    <col min="2" max="2" width="20.85546875" customWidth="1"/>
    <col min="3" max="3" width="7.42578125" style="15" customWidth="1"/>
    <col min="4" max="4" width="7.85546875" style="4" customWidth="1"/>
    <col min="5" max="5" width="12.85546875" style="4" customWidth="1"/>
    <col min="6" max="6" width="9.5703125" style="4" customWidth="1"/>
    <col min="7" max="7" width="7.5703125" style="4" customWidth="1"/>
    <col min="8" max="8" width="12.7109375" style="2" bestFit="1" customWidth="1"/>
    <col min="9" max="11" width="7.7109375" style="4" customWidth="1"/>
    <col min="12" max="12" width="7" style="4" customWidth="1"/>
    <col min="13" max="13" width="8.28515625" style="4" customWidth="1"/>
    <col min="14" max="14" width="9.42578125" style="4" customWidth="1"/>
    <col min="15" max="15" width="9.7109375" style="4" customWidth="1"/>
    <col min="16" max="16" width="7.5703125" style="4" customWidth="1"/>
    <col min="17" max="17" width="9.7109375" style="4" customWidth="1"/>
    <col min="18" max="18" width="10.85546875" style="4" customWidth="1"/>
    <col min="19" max="19" width="10.7109375" style="15" customWidth="1"/>
    <col min="20" max="20" width="9" style="2" customWidth="1"/>
    <col min="21" max="21" width="9" style="6" customWidth="1"/>
    <col min="22" max="22" width="8.85546875" style="2" bestFit="1" customWidth="1"/>
    <col min="23" max="23" width="9" style="6" customWidth="1"/>
    <col min="24" max="25" width="9.85546875" style="2" customWidth="1"/>
    <col min="26" max="26" width="13.28515625" style="17" customWidth="1"/>
    <col min="27" max="27" width="10.7109375" style="2" customWidth="1"/>
    <col min="28" max="28" width="9.140625" style="2" customWidth="1"/>
    <col min="29" max="29" width="9.85546875" style="6" customWidth="1"/>
    <col min="30" max="30" width="9.5703125" style="16" customWidth="1"/>
    <col min="31" max="31" width="15.5703125" style="2" bestFit="1" customWidth="1"/>
    <col min="32" max="32" width="8" style="2" bestFit="1" customWidth="1"/>
    <col min="33" max="33" width="6.5703125" style="6" customWidth="1"/>
    <col min="34" max="34" width="20.28515625" style="2" bestFit="1" customWidth="1"/>
    <col min="35" max="35" width="12.7109375" style="2" bestFit="1" customWidth="1"/>
    <col min="36" max="36" width="6.5703125" style="6" customWidth="1"/>
    <col min="37" max="37" width="15.42578125" style="2" bestFit="1" customWidth="1"/>
    <col min="38" max="38" width="8" style="2" bestFit="1" customWidth="1"/>
    <col min="39" max="39" width="6.5703125" style="6" customWidth="1"/>
    <col min="40" max="41" width="6.5703125" style="2" customWidth="1"/>
    <col min="42" max="42" width="6.5703125" style="6" customWidth="1"/>
    <col min="43" max="44" width="6.5703125" style="2" customWidth="1"/>
    <col min="45" max="45" width="6.5703125" style="6" customWidth="1"/>
    <col min="46" max="47" width="6.5703125" style="2" customWidth="1"/>
    <col min="48" max="48" width="6.5703125" style="6" customWidth="1"/>
    <col min="49" max="50" width="6.5703125" style="2" customWidth="1"/>
    <col min="51" max="51" width="6.5703125" style="6" customWidth="1"/>
    <col min="52" max="53" width="6.5703125" style="2" customWidth="1"/>
    <col min="54" max="54" width="6.5703125" style="6" customWidth="1"/>
    <col min="55" max="56" width="6.5703125" style="2" customWidth="1"/>
    <col min="57" max="57" width="6.5703125" style="6" customWidth="1"/>
    <col min="58" max="59" width="6.5703125" style="2" customWidth="1"/>
    <col min="60" max="60" width="6.5703125" style="6" customWidth="1"/>
    <col min="61" max="63" width="6.5703125" style="2" customWidth="1"/>
    <col min="64" max="66" width="6.5703125" customWidth="1"/>
  </cols>
  <sheetData>
    <row r="1" spans="1:66" x14ac:dyDescent="0.25">
      <c r="C1" s="4"/>
      <c r="S1" s="4"/>
      <c r="Z1" s="6"/>
      <c r="AD1" s="2"/>
    </row>
    <row r="2" spans="1:66" x14ac:dyDescent="0.25">
      <c r="C2" s="4"/>
      <c r="D2" s="9"/>
      <c r="F2" s="9"/>
      <c r="S2" s="4"/>
      <c r="Z2" s="6"/>
      <c r="AD2" s="2"/>
    </row>
    <row r="3" spans="1:66" x14ac:dyDescent="0.25">
      <c r="C3" s="4"/>
      <c r="D3" s="9"/>
      <c r="F3" s="9"/>
      <c r="S3" s="4"/>
      <c r="Z3" s="6"/>
      <c r="AD3" s="2"/>
    </row>
    <row r="4" spans="1:66" ht="15" customHeight="1" x14ac:dyDescent="0.25">
      <c r="C4" s="4"/>
      <c r="J4" s="4" t="s">
        <v>53</v>
      </c>
      <c r="S4" s="4"/>
      <c r="Z4" s="6"/>
      <c r="AC4" s="35"/>
      <c r="AD4" s="35"/>
    </row>
    <row r="5" spans="1:66" s="11" customFormat="1" ht="15" customHeight="1" x14ac:dyDescent="0.25">
      <c r="A5" s="12"/>
      <c r="B5" s="36" t="s">
        <v>0</v>
      </c>
      <c r="C5" s="37" t="s">
        <v>11</v>
      </c>
      <c r="D5" s="38" t="s">
        <v>18</v>
      </c>
      <c r="E5" s="38"/>
      <c r="F5" s="38"/>
      <c r="G5" s="38"/>
      <c r="H5" s="38"/>
      <c r="I5" s="39" t="s">
        <v>19</v>
      </c>
      <c r="J5" s="39"/>
      <c r="K5" s="39"/>
      <c r="L5" s="40" t="s">
        <v>20</v>
      </c>
      <c r="M5" s="40"/>
      <c r="N5" s="40"/>
      <c r="O5" s="41" t="s">
        <v>5</v>
      </c>
      <c r="P5" s="39" t="s">
        <v>21</v>
      </c>
      <c r="Q5" s="39"/>
      <c r="R5" s="39"/>
      <c r="S5" s="39"/>
      <c r="T5" s="42" t="s">
        <v>16</v>
      </c>
      <c r="U5" s="42"/>
      <c r="V5" s="42"/>
      <c r="W5" s="42"/>
      <c r="X5" s="43" t="s">
        <v>49</v>
      </c>
      <c r="Y5" s="43" t="s">
        <v>50</v>
      </c>
      <c r="Z5" s="37" t="s">
        <v>17</v>
      </c>
      <c r="AA5" s="43" t="s">
        <v>51</v>
      </c>
      <c r="AB5" s="43" t="s">
        <v>52</v>
      </c>
      <c r="AC5" s="44" t="s">
        <v>9</v>
      </c>
      <c r="AD5" s="46" t="s">
        <v>29</v>
      </c>
      <c r="AE5" s="47" t="s">
        <v>15</v>
      </c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</row>
    <row r="6" spans="1:66" s="1" customFormat="1" ht="16.5" customHeight="1" x14ac:dyDescent="0.25">
      <c r="A6" s="3"/>
      <c r="B6" s="36"/>
      <c r="C6" s="37"/>
      <c r="D6" s="44" t="s">
        <v>1</v>
      </c>
      <c r="E6" s="44" t="s">
        <v>28</v>
      </c>
      <c r="F6" s="41" t="s">
        <v>2</v>
      </c>
      <c r="G6" s="44" t="s">
        <v>3</v>
      </c>
      <c r="H6" s="43" t="s">
        <v>4</v>
      </c>
      <c r="I6" s="51" t="s">
        <v>22</v>
      </c>
      <c r="J6" s="51" t="s">
        <v>23</v>
      </c>
      <c r="K6" s="51" t="s">
        <v>24</v>
      </c>
      <c r="L6" s="44" t="s">
        <v>1</v>
      </c>
      <c r="M6" s="44" t="s">
        <v>28</v>
      </c>
      <c r="N6" s="40" t="s">
        <v>25</v>
      </c>
      <c r="O6" s="41"/>
      <c r="P6" s="44" t="s">
        <v>1</v>
      </c>
      <c r="Q6" s="44" t="s">
        <v>6</v>
      </c>
      <c r="R6" s="51" t="s">
        <v>26</v>
      </c>
      <c r="S6" s="52" t="s">
        <v>27</v>
      </c>
      <c r="T6" s="43">
        <v>1</v>
      </c>
      <c r="U6" s="43"/>
      <c r="V6" s="43">
        <v>2</v>
      </c>
      <c r="W6" s="43"/>
      <c r="X6" s="43"/>
      <c r="Y6" s="43"/>
      <c r="Z6" s="37"/>
      <c r="AA6" s="43"/>
      <c r="AB6" s="43"/>
      <c r="AC6" s="45"/>
      <c r="AD6" s="46"/>
      <c r="AE6" s="48">
        <v>1</v>
      </c>
      <c r="AF6" s="49"/>
      <c r="AG6" s="50"/>
      <c r="AH6" s="48">
        <v>2</v>
      </c>
      <c r="AI6" s="49"/>
      <c r="AJ6" s="50"/>
      <c r="AK6" s="48">
        <v>3</v>
      </c>
      <c r="AL6" s="49"/>
      <c r="AM6" s="50"/>
      <c r="AN6" s="48">
        <v>4</v>
      </c>
      <c r="AO6" s="49"/>
      <c r="AP6" s="50"/>
      <c r="AQ6" s="48">
        <v>5</v>
      </c>
      <c r="AR6" s="49"/>
      <c r="AS6" s="50"/>
      <c r="AT6" s="48">
        <v>6</v>
      </c>
      <c r="AU6" s="49"/>
      <c r="AV6" s="50"/>
      <c r="AW6" s="48">
        <v>7</v>
      </c>
      <c r="AX6" s="49"/>
      <c r="AY6" s="50"/>
      <c r="AZ6" s="48">
        <v>8</v>
      </c>
      <c r="BA6" s="49"/>
      <c r="BB6" s="50"/>
      <c r="BC6" s="48">
        <v>9</v>
      </c>
      <c r="BD6" s="49"/>
      <c r="BE6" s="50"/>
      <c r="BF6" s="48">
        <v>10</v>
      </c>
      <c r="BG6" s="49"/>
      <c r="BH6" s="50"/>
      <c r="BI6" s="48">
        <v>11</v>
      </c>
      <c r="BJ6" s="49"/>
      <c r="BK6" s="50"/>
      <c r="BL6" s="48">
        <v>12</v>
      </c>
      <c r="BM6" s="49"/>
      <c r="BN6" s="50"/>
    </row>
    <row r="7" spans="1:66" s="11" customFormat="1" ht="27" customHeight="1" x14ac:dyDescent="0.25">
      <c r="A7" s="3" t="s">
        <v>30</v>
      </c>
      <c r="B7" s="36"/>
      <c r="C7" s="37"/>
      <c r="D7" s="44"/>
      <c r="E7" s="44"/>
      <c r="F7" s="41"/>
      <c r="G7" s="44"/>
      <c r="H7" s="43"/>
      <c r="I7" s="51"/>
      <c r="J7" s="51"/>
      <c r="K7" s="51"/>
      <c r="L7" s="44"/>
      <c r="M7" s="44"/>
      <c r="N7" s="40"/>
      <c r="O7" s="41"/>
      <c r="P7" s="44"/>
      <c r="Q7" s="44"/>
      <c r="R7" s="51"/>
      <c r="S7" s="52"/>
      <c r="T7" s="3" t="s">
        <v>7</v>
      </c>
      <c r="U7" s="5" t="s">
        <v>8</v>
      </c>
      <c r="V7" s="3" t="s">
        <v>7</v>
      </c>
      <c r="W7" s="5" t="s">
        <v>8</v>
      </c>
      <c r="X7" s="43"/>
      <c r="Y7" s="43"/>
      <c r="Z7" s="37"/>
      <c r="AA7" s="43"/>
      <c r="AB7" s="43"/>
      <c r="AC7" s="45"/>
      <c r="AD7" s="46"/>
      <c r="AE7" s="3" t="s">
        <v>7</v>
      </c>
      <c r="AF7" s="3" t="s">
        <v>4</v>
      </c>
      <c r="AG7" s="5" t="s">
        <v>10</v>
      </c>
      <c r="AH7" s="3" t="s">
        <v>7</v>
      </c>
      <c r="AI7" s="3" t="s">
        <v>4</v>
      </c>
      <c r="AJ7" s="5" t="s">
        <v>10</v>
      </c>
      <c r="AK7" s="3" t="s">
        <v>7</v>
      </c>
      <c r="AL7" s="3" t="s">
        <v>4</v>
      </c>
      <c r="AM7" s="5" t="s">
        <v>10</v>
      </c>
      <c r="AN7" s="3" t="s">
        <v>7</v>
      </c>
      <c r="AO7" s="3" t="s">
        <v>4</v>
      </c>
      <c r="AP7" s="5" t="s">
        <v>10</v>
      </c>
      <c r="AQ7" s="3" t="s">
        <v>7</v>
      </c>
      <c r="AR7" s="3" t="s">
        <v>4</v>
      </c>
      <c r="AS7" s="5" t="s">
        <v>10</v>
      </c>
      <c r="AT7" s="3" t="s">
        <v>7</v>
      </c>
      <c r="AU7" s="3" t="s">
        <v>4</v>
      </c>
      <c r="AV7" s="5" t="s">
        <v>10</v>
      </c>
      <c r="AW7" s="3" t="s">
        <v>7</v>
      </c>
      <c r="AX7" s="3" t="s">
        <v>4</v>
      </c>
      <c r="AY7" s="5" t="s">
        <v>10</v>
      </c>
      <c r="AZ7" s="3" t="s">
        <v>7</v>
      </c>
      <c r="BA7" s="3" t="s">
        <v>4</v>
      </c>
      <c r="BB7" s="5" t="s">
        <v>10</v>
      </c>
      <c r="BC7" s="3" t="s">
        <v>7</v>
      </c>
      <c r="BD7" s="3" t="s">
        <v>4</v>
      </c>
      <c r="BE7" s="5" t="s">
        <v>10</v>
      </c>
      <c r="BF7" s="3" t="s">
        <v>7</v>
      </c>
      <c r="BG7" s="3" t="s">
        <v>4</v>
      </c>
      <c r="BH7" s="5" t="s">
        <v>10</v>
      </c>
      <c r="BI7" s="3" t="s">
        <v>7</v>
      </c>
      <c r="BJ7" s="3" t="s">
        <v>4</v>
      </c>
      <c r="BK7" s="5" t="s">
        <v>10</v>
      </c>
      <c r="BL7" s="3" t="s">
        <v>7</v>
      </c>
      <c r="BM7" s="3" t="s">
        <v>4</v>
      </c>
      <c r="BN7" s="5" t="s">
        <v>10</v>
      </c>
    </row>
    <row r="8" spans="1:66" s="19" customFormat="1" x14ac:dyDescent="0.25">
      <c r="A8" s="18">
        <v>0</v>
      </c>
      <c r="B8" s="19" t="s">
        <v>12</v>
      </c>
      <c r="C8" s="20">
        <v>0</v>
      </c>
      <c r="D8" s="7"/>
      <c r="E8" s="7"/>
      <c r="F8" s="7">
        <v>2.11</v>
      </c>
      <c r="G8" s="7"/>
      <c r="H8" s="18"/>
      <c r="I8" s="31" t="s">
        <v>54</v>
      </c>
      <c r="J8" s="31" t="s">
        <v>54</v>
      </c>
      <c r="K8" s="31" t="s">
        <v>54</v>
      </c>
      <c r="L8" s="7"/>
      <c r="M8" s="7"/>
      <c r="N8" s="7">
        <v>24.69</v>
      </c>
      <c r="O8" s="31" t="s">
        <v>54</v>
      </c>
      <c r="P8" s="7"/>
      <c r="Q8" s="7"/>
      <c r="R8" s="31" t="s">
        <v>54</v>
      </c>
      <c r="S8" s="31" t="s">
        <v>54</v>
      </c>
      <c r="T8" s="18" t="s">
        <v>13</v>
      </c>
      <c r="U8" s="21">
        <v>0</v>
      </c>
      <c r="V8" s="18" t="s">
        <v>13</v>
      </c>
      <c r="W8" s="21">
        <v>0</v>
      </c>
      <c r="X8" s="18">
        <v>0</v>
      </c>
      <c r="Y8" s="18">
        <v>0</v>
      </c>
      <c r="Z8" s="22" t="s">
        <v>14</v>
      </c>
      <c r="AA8" s="18">
        <v>0</v>
      </c>
      <c r="AB8" s="18">
        <v>0</v>
      </c>
      <c r="AC8" s="21">
        <v>0</v>
      </c>
      <c r="AD8" s="23">
        <v>0</v>
      </c>
      <c r="AE8" s="18"/>
      <c r="AF8" s="18"/>
      <c r="AG8" s="21"/>
      <c r="AH8" s="18"/>
      <c r="AI8" s="18"/>
      <c r="AJ8" s="21"/>
      <c r="AK8" s="18"/>
      <c r="AL8" s="18"/>
      <c r="AM8" s="21"/>
      <c r="AN8" s="18"/>
      <c r="AO8" s="18"/>
      <c r="AP8" s="21"/>
      <c r="AQ8" s="18"/>
      <c r="AR8" s="18"/>
      <c r="AS8" s="21"/>
      <c r="AT8" s="18"/>
      <c r="AU8" s="18"/>
      <c r="AV8" s="21"/>
      <c r="AW8" s="18"/>
      <c r="AX8" s="18"/>
      <c r="AY8" s="21"/>
      <c r="AZ8" s="18"/>
      <c r="BA8" s="18"/>
      <c r="BB8" s="21"/>
      <c r="BC8" s="18"/>
      <c r="BD8" s="18"/>
      <c r="BE8" s="21"/>
      <c r="BF8" s="18"/>
      <c r="BG8" s="18"/>
      <c r="BH8" s="21"/>
      <c r="BI8" s="18"/>
      <c r="BJ8" s="18"/>
      <c r="BK8" s="18"/>
    </row>
    <row r="9" spans="1:66" s="19" customFormat="1" x14ac:dyDescent="0.25">
      <c r="A9" s="18">
        <v>1</v>
      </c>
      <c r="B9" s="19" t="s">
        <v>56</v>
      </c>
      <c r="C9" s="27">
        <v>2.11</v>
      </c>
      <c r="D9" s="19">
        <v>0.71</v>
      </c>
      <c r="E9" s="19">
        <f>TRUNC(-4*LN(1-D9),2)</f>
        <v>4.95</v>
      </c>
      <c r="F9" s="19">
        <f>E9+C9</f>
        <v>7.0600000000000005</v>
      </c>
      <c r="G9" s="19">
        <v>0.46</v>
      </c>
      <c r="H9" s="18" t="str">
        <f>IF(G9&lt;$G$26,$E$26,$E$27)</f>
        <v>General</v>
      </c>
      <c r="I9" s="19" t="s">
        <v>14</v>
      </c>
      <c r="J9" s="19" t="s">
        <v>14</v>
      </c>
      <c r="K9" s="19" t="s">
        <v>14</v>
      </c>
      <c r="N9" s="19">
        <v>24.69</v>
      </c>
      <c r="O9" s="19" t="s">
        <v>14</v>
      </c>
      <c r="P9" s="19">
        <v>0.89</v>
      </c>
      <c r="Q9" s="19">
        <f>TRUNC(6+P9*4,2)</f>
        <v>9.56</v>
      </c>
      <c r="R9" s="19">
        <f>Q9+C9</f>
        <v>11.67</v>
      </c>
      <c r="S9" s="19" t="s">
        <v>14</v>
      </c>
      <c r="T9" s="18" t="s">
        <v>60</v>
      </c>
      <c r="U9" s="7">
        <v>0</v>
      </c>
      <c r="V9" s="18" t="s">
        <v>13</v>
      </c>
      <c r="W9" s="7">
        <v>0</v>
      </c>
      <c r="X9" s="19">
        <v>0</v>
      </c>
      <c r="Y9" s="19">
        <v>0</v>
      </c>
      <c r="Z9" s="19" t="s">
        <v>14</v>
      </c>
      <c r="AA9" s="19">
        <v>0</v>
      </c>
      <c r="AB9" s="19">
        <v>0</v>
      </c>
      <c r="AC9" s="7">
        <v>0</v>
      </c>
      <c r="AD9" s="19">
        <v>1</v>
      </c>
      <c r="AE9" s="19" t="s">
        <v>61</v>
      </c>
      <c r="AF9" s="19" t="s">
        <v>57</v>
      </c>
      <c r="AG9" s="19">
        <v>2.11</v>
      </c>
    </row>
    <row r="10" spans="1:66" s="19" customFormat="1" x14ac:dyDescent="0.25">
      <c r="A10" s="18">
        <v>2</v>
      </c>
      <c r="B10" s="19" t="s">
        <v>62</v>
      </c>
      <c r="C10" s="27">
        <v>7.06</v>
      </c>
      <c r="D10" s="19">
        <v>0.38</v>
      </c>
      <c r="E10" s="19">
        <f>TRUNC(-4*LN(1-D10),2)</f>
        <v>1.91</v>
      </c>
      <c r="F10" s="19">
        <f>E10+C10</f>
        <v>8.9699999999999989</v>
      </c>
      <c r="G10" s="19">
        <v>0.68</v>
      </c>
      <c r="H10" s="18" t="str">
        <f>IF(G10&lt;$G$26,$E$26,$E$27)</f>
        <v>Especializada</v>
      </c>
      <c r="I10" s="19" t="s">
        <v>14</v>
      </c>
      <c r="J10" s="19">
        <f>C10+15</f>
        <v>22.06</v>
      </c>
      <c r="K10" s="19" t="s">
        <v>14</v>
      </c>
      <c r="N10" s="19">
        <v>24.69</v>
      </c>
      <c r="O10" s="19" t="s">
        <v>14</v>
      </c>
      <c r="R10" s="19">
        <v>11.67</v>
      </c>
      <c r="T10" s="18" t="s">
        <v>60</v>
      </c>
      <c r="U10" s="7">
        <f>C10-AG9</f>
        <v>4.9499999999999993</v>
      </c>
      <c r="V10" s="18" t="s">
        <v>13</v>
      </c>
      <c r="W10" s="7">
        <v>0</v>
      </c>
      <c r="X10" s="19">
        <v>0</v>
      </c>
      <c r="Y10" s="19">
        <v>1</v>
      </c>
      <c r="Z10" s="19" t="s">
        <v>14</v>
      </c>
      <c r="AA10" s="19">
        <v>0</v>
      </c>
      <c r="AB10" s="19">
        <v>0</v>
      </c>
      <c r="AC10" s="7">
        <v>0</v>
      </c>
      <c r="AD10" s="19">
        <v>1</v>
      </c>
      <c r="AE10" s="19" t="s">
        <v>61</v>
      </c>
      <c r="AF10" s="19" t="s">
        <v>57</v>
      </c>
      <c r="AG10" s="19">
        <v>2.11</v>
      </c>
      <c r="AH10" s="19" t="s">
        <v>63</v>
      </c>
      <c r="AI10" s="19" t="s">
        <v>58</v>
      </c>
      <c r="AJ10" s="19">
        <v>7.06</v>
      </c>
    </row>
    <row r="11" spans="1:66" s="29" customFormat="1" x14ac:dyDescent="0.25">
      <c r="A11" s="28">
        <v>3</v>
      </c>
      <c r="B11" s="29" t="s">
        <v>64</v>
      </c>
      <c r="C11" s="30">
        <v>8.9700000000000006</v>
      </c>
      <c r="D11" s="29">
        <v>0.24</v>
      </c>
      <c r="E11" s="19">
        <f>TRUNC(-4*LN(1-D11),2)</f>
        <v>1.0900000000000001</v>
      </c>
      <c r="F11" s="19">
        <f>E11+C11</f>
        <v>10.06</v>
      </c>
      <c r="G11" s="29">
        <v>0.15</v>
      </c>
      <c r="H11" s="18" t="str">
        <f>IF(G11&lt;$G$26,$E$26,$E$27)</f>
        <v>General</v>
      </c>
      <c r="J11" s="29">
        <v>22.06</v>
      </c>
      <c r="N11" s="29">
        <v>24.69</v>
      </c>
      <c r="O11" s="29" t="s">
        <v>14</v>
      </c>
      <c r="P11" s="29">
        <v>0.74</v>
      </c>
      <c r="Q11" s="19">
        <f>TRUNC(6+P11*4,2)</f>
        <v>8.9600000000000009</v>
      </c>
      <c r="S11" s="19">
        <f>Q11+C11</f>
        <v>17.93</v>
      </c>
      <c r="T11" s="28" t="s">
        <v>60</v>
      </c>
      <c r="U11" s="53">
        <f>U10+(C11-C10)</f>
        <v>6.86</v>
      </c>
      <c r="V11" s="28" t="s">
        <v>60</v>
      </c>
      <c r="W11" s="53">
        <v>0</v>
      </c>
      <c r="X11" s="29">
        <v>0</v>
      </c>
      <c r="Y11" s="29">
        <v>1</v>
      </c>
      <c r="Z11" s="29" t="s">
        <v>14</v>
      </c>
      <c r="AA11" s="29">
        <v>0</v>
      </c>
      <c r="AB11" s="29">
        <v>0</v>
      </c>
      <c r="AC11" s="29">
        <f>AC10+(C11-AJ10)</f>
        <v>1.910000000000001</v>
      </c>
      <c r="AD11" s="29">
        <v>2</v>
      </c>
      <c r="AE11" s="19" t="s">
        <v>61</v>
      </c>
      <c r="AF11" s="19" t="s">
        <v>57</v>
      </c>
      <c r="AG11" s="19">
        <v>2.11</v>
      </c>
      <c r="AH11" s="19" t="s">
        <v>63</v>
      </c>
      <c r="AI11" s="19" t="s">
        <v>58</v>
      </c>
      <c r="AJ11" s="19">
        <v>7.06</v>
      </c>
      <c r="AK11" s="29" t="s">
        <v>65</v>
      </c>
      <c r="AL11" s="29" t="s">
        <v>57</v>
      </c>
      <c r="AM11" s="29">
        <v>8.9700000000000006</v>
      </c>
    </row>
    <row r="12" spans="1:66" s="19" customFormat="1" x14ac:dyDescent="0.25">
      <c r="A12" s="18"/>
      <c r="C12" s="27"/>
      <c r="H12" s="18"/>
      <c r="T12" s="18"/>
      <c r="V12" s="18"/>
    </row>
    <row r="13" spans="1:66" x14ac:dyDescent="0.25">
      <c r="A13" s="13" t="s">
        <v>32</v>
      </c>
      <c r="F13" s="8"/>
      <c r="M13" s="7"/>
      <c r="Q13"/>
      <c r="R13"/>
      <c r="S13"/>
      <c r="U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</row>
    <row r="14" spans="1:66" x14ac:dyDescent="0.25">
      <c r="A14" s="13" t="s">
        <v>31</v>
      </c>
      <c r="C14" s="15" t="s">
        <v>35</v>
      </c>
      <c r="D14" s="4">
        <v>0.71</v>
      </c>
      <c r="F14" s="4" t="s">
        <v>47</v>
      </c>
      <c r="G14" s="4">
        <v>0.46</v>
      </c>
      <c r="K14" s="4" t="s">
        <v>40</v>
      </c>
      <c r="L14" s="4">
        <v>0.74</v>
      </c>
      <c r="M14" s="7"/>
      <c r="O14" s="4" t="s">
        <v>43</v>
      </c>
      <c r="P14" s="4">
        <v>0.89</v>
      </c>
      <c r="Q14"/>
      <c r="R14" s="25"/>
      <c r="S14"/>
      <c r="U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</row>
    <row r="15" spans="1:66" x14ac:dyDescent="0.25">
      <c r="A15" s="13" t="s">
        <v>33</v>
      </c>
      <c r="C15" s="15" t="s">
        <v>36</v>
      </c>
      <c r="D15" s="4">
        <v>0.38</v>
      </c>
      <c r="F15" s="4" t="s">
        <v>38</v>
      </c>
      <c r="G15" s="4">
        <v>0.68</v>
      </c>
      <c r="K15" s="4" t="s">
        <v>41</v>
      </c>
      <c r="L15" s="4">
        <v>0.57999999999999996</v>
      </c>
      <c r="M15" s="7"/>
      <c r="O15" s="4" t="s">
        <v>44</v>
      </c>
      <c r="P15" s="4">
        <v>0.74</v>
      </c>
      <c r="Q15"/>
      <c r="R15"/>
      <c r="S15"/>
      <c r="U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</row>
    <row r="16" spans="1:66" x14ac:dyDescent="0.25">
      <c r="A16" s="13" t="s">
        <v>34</v>
      </c>
      <c r="C16" s="15" t="s">
        <v>37</v>
      </c>
      <c r="D16" s="4">
        <v>0.24</v>
      </c>
      <c r="F16" s="4" t="s">
        <v>39</v>
      </c>
      <c r="G16" s="4">
        <v>0.15</v>
      </c>
      <c r="K16" s="4" t="s">
        <v>42</v>
      </c>
      <c r="L16" s="4">
        <v>0.61</v>
      </c>
      <c r="M16" s="7"/>
      <c r="O16" s="4" t="s">
        <v>45</v>
      </c>
      <c r="P16" s="4">
        <v>0.67</v>
      </c>
      <c r="Q16"/>
      <c r="R16"/>
      <c r="S16"/>
      <c r="U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</row>
    <row r="17" spans="1:63" x14ac:dyDescent="0.25">
      <c r="A17" s="14" t="s">
        <v>46</v>
      </c>
      <c r="M17" s="7"/>
      <c r="Q17"/>
      <c r="R17"/>
      <c r="S17" s="25"/>
      <c r="U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</row>
    <row r="18" spans="1:63" x14ac:dyDescent="0.25">
      <c r="F18" s="8" t="s">
        <v>48</v>
      </c>
      <c r="I18" s="10"/>
      <c r="M18" s="7"/>
      <c r="Q18"/>
      <c r="R18"/>
      <c r="S18"/>
      <c r="U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</row>
    <row r="19" spans="1:63" x14ac:dyDescent="0.25">
      <c r="C19" s="26"/>
      <c r="D19"/>
      <c r="E19"/>
      <c r="F19"/>
      <c r="G19"/>
      <c r="I19"/>
      <c r="J19"/>
      <c r="K19"/>
      <c r="L19"/>
      <c r="M19"/>
      <c r="N19"/>
      <c r="O19"/>
      <c r="P19"/>
      <c r="Q19"/>
      <c r="R19" s="25"/>
      <c r="S19"/>
      <c r="U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</row>
    <row r="20" spans="1:63" x14ac:dyDescent="0.25">
      <c r="D20"/>
      <c r="E20"/>
      <c r="F20" s="32" t="s">
        <v>55</v>
      </c>
      <c r="G20" s="33"/>
      <c r="H20" s="34"/>
      <c r="I20" s="33"/>
      <c r="J20" s="33"/>
      <c r="K20" s="33"/>
      <c r="L20" s="33"/>
      <c r="M20"/>
      <c r="N20" s="25"/>
      <c r="O20"/>
      <c r="P20"/>
      <c r="Q20"/>
      <c r="R20"/>
      <c r="S20"/>
      <c r="U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</row>
    <row r="21" spans="1:63" x14ac:dyDescent="0.25">
      <c r="C21" s="26"/>
      <c r="D21"/>
      <c r="E21"/>
      <c r="F21" s="25"/>
      <c r="G21"/>
      <c r="I21"/>
      <c r="J21"/>
      <c r="K21"/>
      <c r="L21"/>
      <c r="M21"/>
      <c r="N21"/>
      <c r="O21"/>
      <c r="P21"/>
      <c r="Q21"/>
      <c r="R21"/>
      <c r="S21" s="10"/>
      <c r="U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</row>
    <row r="22" spans="1:63" x14ac:dyDescent="0.25">
      <c r="C22" s="26"/>
      <c r="D22"/>
      <c r="E22"/>
      <c r="F22"/>
      <c r="G22"/>
      <c r="I22"/>
      <c r="J22" s="25"/>
      <c r="K22"/>
      <c r="L22"/>
      <c r="M22"/>
      <c r="N22"/>
      <c r="O22"/>
      <c r="P22"/>
      <c r="Q22"/>
      <c r="R22"/>
      <c r="S22"/>
      <c r="U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</row>
    <row r="23" spans="1:63" x14ac:dyDescent="0.25">
      <c r="C23" s="26"/>
      <c r="D23"/>
      <c r="E23"/>
      <c r="F23"/>
      <c r="G23"/>
      <c r="I23"/>
      <c r="J23"/>
      <c r="K23"/>
      <c r="L23"/>
      <c r="M23"/>
      <c r="N23"/>
      <c r="O23" s="25"/>
      <c r="P23"/>
      <c r="Q23"/>
      <c r="R23"/>
      <c r="S23"/>
      <c r="U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</row>
    <row r="24" spans="1:63" x14ac:dyDescent="0.25">
      <c r="C24" s="26"/>
      <c r="D24"/>
      <c r="E24"/>
      <c r="F24"/>
      <c r="G24"/>
      <c r="I24"/>
      <c r="J24"/>
      <c r="K24"/>
      <c r="L24"/>
      <c r="M24"/>
      <c r="N24"/>
      <c r="O24"/>
      <c r="P24"/>
      <c r="Q24"/>
      <c r="R24" s="25"/>
      <c r="S24"/>
      <c r="U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</row>
    <row r="25" spans="1:63" x14ac:dyDescent="0.25">
      <c r="C25" s="26"/>
      <c r="D25"/>
      <c r="E25" t="s">
        <v>4</v>
      </c>
      <c r="F25"/>
      <c r="G25" t="s">
        <v>59</v>
      </c>
      <c r="I25"/>
      <c r="J25"/>
      <c r="K25"/>
      <c r="L25"/>
      <c r="M25"/>
      <c r="N25"/>
      <c r="O25"/>
      <c r="P25"/>
      <c r="Q25"/>
      <c r="R25"/>
      <c r="S25" s="25"/>
      <c r="U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</row>
    <row r="26" spans="1:63" x14ac:dyDescent="0.25">
      <c r="C26" s="26"/>
      <c r="D26"/>
      <c r="E26" t="s">
        <v>57</v>
      </c>
      <c r="F26" s="25">
        <v>0.5</v>
      </c>
      <c r="G26">
        <v>0.5</v>
      </c>
      <c r="I26"/>
      <c r="J26"/>
      <c r="K26"/>
      <c r="L26"/>
      <c r="M26"/>
      <c r="N26"/>
      <c r="O26"/>
      <c r="P26"/>
      <c r="Q26"/>
      <c r="R26"/>
      <c r="S26"/>
      <c r="U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</row>
    <row r="27" spans="1:63" x14ac:dyDescent="0.25">
      <c r="C27" s="26"/>
      <c r="D27"/>
      <c r="E27" t="s">
        <v>58</v>
      </c>
      <c r="F27">
        <v>0.5</v>
      </c>
      <c r="G27">
        <v>1</v>
      </c>
      <c r="I27"/>
      <c r="J27"/>
      <c r="K27"/>
      <c r="L27"/>
      <c r="M27"/>
      <c r="N27"/>
      <c r="O27"/>
      <c r="P27"/>
      <c r="Q27"/>
      <c r="R27"/>
      <c r="S27"/>
      <c r="U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</row>
    <row r="30" spans="1:63" x14ac:dyDescent="0.25">
      <c r="U30" s="24"/>
      <c r="W30" s="24"/>
      <c r="AC30" s="45"/>
      <c r="AD30" s="45"/>
    </row>
  </sheetData>
  <mergeCells count="47">
    <mergeCell ref="AC30:AD30"/>
    <mergeCell ref="AT6:AV6"/>
    <mergeCell ref="AW6:AY6"/>
    <mergeCell ref="AZ6:BB6"/>
    <mergeCell ref="BC6:BE6"/>
    <mergeCell ref="AE6:AG6"/>
    <mergeCell ref="Q6:Q7"/>
    <mergeCell ref="R6:R7"/>
    <mergeCell ref="S6:S7"/>
    <mergeCell ref="T6:U6"/>
    <mergeCell ref="V6:W6"/>
    <mergeCell ref="P6:P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AE5:BN5"/>
    <mergeCell ref="AH6:AJ6"/>
    <mergeCell ref="AK6:AM6"/>
    <mergeCell ref="AN6:AP6"/>
    <mergeCell ref="AQ6:AS6"/>
    <mergeCell ref="BL6:BN6"/>
    <mergeCell ref="BF6:BH6"/>
    <mergeCell ref="BI6:BK6"/>
    <mergeCell ref="AC4:AD4"/>
    <mergeCell ref="B5:B7"/>
    <mergeCell ref="C5:C7"/>
    <mergeCell ref="D5:H5"/>
    <mergeCell ref="I5:K5"/>
    <mergeCell ref="L5:N5"/>
    <mergeCell ref="O5:O7"/>
    <mergeCell ref="P5:S5"/>
    <mergeCell ref="T5:W5"/>
    <mergeCell ref="X5:X7"/>
    <mergeCell ref="Y5:Y7"/>
    <mergeCell ref="Z5:Z7"/>
    <mergeCell ref="AA5:AA7"/>
    <mergeCell ref="AB5:AB7"/>
    <mergeCell ref="AC5:AC7"/>
    <mergeCell ref="AD5:A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Cabecera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Carena</dc:creator>
  <cp:lastModifiedBy>alumno</cp:lastModifiedBy>
  <cp:lastPrinted>2025-06-11T15:14:17Z</cp:lastPrinted>
  <dcterms:created xsi:type="dcterms:W3CDTF">2025-06-05T01:01:34Z</dcterms:created>
  <dcterms:modified xsi:type="dcterms:W3CDTF">2025-06-21T14:03:40Z</dcterms:modified>
</cp:coreProperties>
</file>